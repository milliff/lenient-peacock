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danmilliff/Dropbox (MIT)/India Opinion/India Public Opinion/Cambridge Elements/replication-material/data/"/>
    </mc:Choice>
  </mc:AlternateContent>
  <xr:revisionPtr revIDLastSave="0" documentId="13_ncr:1_{6A789B5D-A0F9-3D44-B3CB-41A49A39F87C}" xr6:coauthVersionLast="47" xr6:coauthVersionMax="47" xr10:uidLastSave="{00000000-0000-0000-0000-000000000000}"/>
  <bookViews>
    <workbookView xWindow="28480" yWindow="4380" windowWidth="67200" windowHeight="37300" xr2:uid="{3B30555F-A4AF-CB41-A311-A89BC82CA27B}"/>
  </bookViews>
  <sheets>
    <sheet name="All" sheetId="1" r:id="rId1"/>
    <sheet name="IntlImageUSA" sheetId="8" r:id="rId2"/>
    <sheet name="IntlImageUSSR" sheetId="2" r:id="rId3"/>
    <sheet name="IntlImageChina" sheetId="4" r:id="rId4"/>
    <sheet name="IntlImagePaki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9" i="1" l="1"/>
  <c r="K90" i="1"/>
  <c r="K91" i="1"/>
  <c r="K92" i="1"/>
  <c r="K93" i="1"/>
  <c r="K94" i="1"/>
  <c r="K9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2" i="1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J2" i="8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I2" i="7"/>
  <c r="I3" i="7"/>
  <c r="I4" i="7"/>
  <c r="I5" i="7"/>
  <c r="I6" i="7"/>
  <c r="I7" i="7"/>
  <c r="I8" i="7"/>
  <c r="I9" i="7"/>
  <c r="I10" i="7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" i="4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2" i="1"/>
</calcChain>
</file>

<file path=xl/sharedStrings.xml><?xml version="1.0" encoding="utf-8"?>
<sst xmlns="http://schemas.openxmlformats.org/spreadsheetml/2006/main" count="377" uniqueCount="26">
  <si>
    <t>Very Good</t>
  </si>
  <si>
    <t>Good</t>
  </si>
  <si>
    <t>Neither</t>
  </si>
  <si>
    <t>Bad</t>
  </si>
  <si>
    <t>Very Bad</t>
  </si>
  <si>
    <t>Don't Know</t>
  </si>
  <si>
    <t>Year</t>
  </si>
  <si>
    <t>Month</t>
  </si>
  <si>
    <t>April</t>
  </si>
  <si>
    <t>August</t>
  </si>
  <si>
    <t>July</t>
  </si>
  <si>
    <t>Don't Know/No Opinion</t>
  </si>
  <si>
    <t>March</t>
  </si>
  <si>
    <t>USA</t>
  </si>
  <si>
    <t>USSR</t>
  </si>
  <si>
    <t>February</t>
  </si>
  <si>
    <t>September</t>
  </si>
  <si>
    <t>May</t>
  </si>
  <si>
    <t>December</t>
  </si>
  <si>
    <t>October</t>
  </si>
  <si>
    <t>Avg</t>
  </si>
  <si>
    <t>June</t>
  </si>
  <si>
    <t>January</t>
  </si>
  <si>
    <t>Country</t>
  </si>
  <si>
    <t>China</t>
  </si>
  <si>
    <t>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</si>
</sst>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;@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5"/>
      <color rgb="FF141414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5" fontId="1" fillId="0" borderId="0" xfId="0" applyNumberFormat="1" applyFont="1"/>
    <xf numFmtId="165" fontId="0" fillId="0" borderId="0" xfId="0" applyNumberForma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BC5C-B8A9-194E-9AF6-45C0EA08D965}">
  <dimension ref="A1:K95"/>
  <sheetViews>
    <sheetView tabSelected="1" workbookViewId="0">
      <pane ySplit="1" topLeftCell="A2" activePane="bottomLeft" state="frozen"/>
      <selection pane="bottomLeft" activeCell="K2" sqref="K2"/>
    </sheetView>
  </sheetViews>
  <sheetFormatPr baseColWidth="10" defaultRowHeight="16" x14ac:dyDescent="0.2"/>
  <cols>
    <col min="3" max="3" width="10.83203125" style="4"/>
  </cols>
  <sheetData>
    <row r="1" spans="1:11" s="1" customFormat="1" x14ac:dyDescent="0.2">
      <c r="A1" s="1" t="s">
        <v>23</v>
      </c>
      <c r="B1" s="1" t="s">
        <v>6</v>
      </c>
      <c r="C1" s="3" t="s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20</v>
      </c>
      <c r="K1" s="1" t="s">
        <v>25</v>
      </c>
    </row>
    <row r="2" spans="1:11" ht="19" x14ac:dyDescent="0.2">
      <c r="A2" t="s">
        <v>13</v>
      </c>
      <c r="B2">
        <v>1959</v>
      </c>
      <c r="C2" s="4" t="s">
        <v>21</v>
      </c>
      <c r="D2">
        <v>7</v>
      </c>
      <c r="E2">
        <v>20</v>
      </c>
      <c r="F2">
        <v>8</v>
      </c>
      <c r="G2">
        <v>4</v>
      </c>
      <c r="H2">
        <v>1</v>
      </c>
      <c r="I2">
        <v>59</v>
      </c>
      <c r="J2">
        <f>((D2*2)+(E2*1)+(G2*-1)+(H2*-2))/SUM(D2:H2)</f>
        <v>0.7</v>
      </c>
      <c r="K2" s="5">
        <f>(C2&amp;"/"&amp;B2)+0</f>
        <v>21702</v>
      </c>
    </row>
    <row r="3" spans="1:11" ht="19" x14ac:dyDescent="0.2">
      <c r="A3" t="s">
        <v>13</v>
      </c>
      <c r="B3">
        <v>1963</v>
      </c>
      <c r="C3" s="4" t="s">
        <v>10</v>
      </c>
      <c r="D3">
        <v>17</v>
      </c>
      <c r="E3">
        <v>48</v>
      </c>
      <c r="F3">
        <v>12</v>
      </c>
      <c r="G3">
        <v>1</v>
      </c>
      <c r="H3">
        <v>0</v>
      </c>
      <c r="I3">
        <v>22</v>
      </c>
      <c r="J3">
        <f t="shared" ref="J3:J39" si="0">((D3*2)+(E3*1)+(G3*-1)+(H3*-2))/SUM(D3:H3)</f>
        <v>1.0384615384615385</v>
      </c>
      <c r="K3" s="5">
        <f t="shared" ref="K3:K66" si="1">(C3&amp;"/"&amp;B3)+0</f>
        <v>23193</v>
      </c>
    </row>
    <row r="4" spans="1:11" ht="19" x14ac:dyDescent="0.2">
      <c r="A4" t="s">
        <v>13</v>
      </c>
      <c r="B4">
        <v>1965</v>
      </c>
      <c r="C4" s="4" t="s">
        <v>21</v>
      </c>
      <c r="D4">
        <v>16</v>
      </c>
      <c r="E4">
        <v>61</v>
      </c>
      <c r="F4">
        <v>8</v>
      </c>
      <c r="G4">
        <v>2</v>
      </c>
      <c r="H4">
        <v>0</v>
      </c>
      <c r="I4">
        <v>16</v>
      </c>
      <c r="J4">
        <f t="shared" si="0"/>
        <v>1.0459770114942528</v>
      </c>
      <c r="K4" s="5">
        <f t="shared" si="1"/>
        <v>23894</v>
      </c>
    </row>
    <row r="5" spans="1:11" ht="19" x14ac:dyDescent="0.2">
      <c r="A5" t="s">
        <v>13</v>
      </c>
      <c r="B5">
        <v>1966</v>
      </c>
      <c r="C5" s="4" t="s">
        <v>12</v>
      </c>
      <c r="D5">
        <v>19</v>
      </c>
      <c r="E5">
        <v>52</v>
      </c>
      <c r="F5">
        <v>18</v>
      </c>
      <c r="G5">
        <v>4</v>
      </c>
      <c r="H5">
        <v>0</v>
      </c>
      <c r="I5">
        <v>7</v>
      </c>
      <c r="J5">
        <f t="shared" si="0"/>
        <v>0.92473118279569888</v>
      </c>
      <c r="K5" s="5">
        <f t="shared" si="1"/>
        <v>24167</v>
      </c>
    </row>
    <row r="6" spans="1:11" ht="19" x14ac:dyDescent="0.2">
      <c r="A6" t="s">
        <v>13</v>
      </c>
      <c r="B6">
        <v>1966</v>
      </c>
      <c r="C6" s="4" t="s">
        <v>9</v>
      </c>
      <c r="D6">
        <v>21</v>
      </c>
      <c r="E6">
        <v>56</v>
      </c>
      <c r="F6">
        <v>14</v>
      </c>
      <c r="G6">
        <v>3</v>
      </c>
      <c r="H6">
        <v>0</v>
      </c>
      <c r="I6">
        <v>6</v>
      </c>
      <c r="J6">
        <f t="shared" si="0"/>
        <v>1.0106382978723405</v>
      </c>
      <c r="K6" s="5">
        <f t="shared" si="1"/>
        <v>24320</v>
      </c>
    </row>
    <row r="7" spans="1:11" ht="19" x14ac:dyDescent="0.2">
      <c r="A7" t="s">
        <v>13</v>
      </c>
      <c r="B7">
        <v>1967</v>
      </c>
      <c r="C7" s="4" t="s">
        <v>10</v>
      </c>
      <c r="D7">
        <v>11</v>
      </c>
      <c r="E7">
        <v>44</v>
      </c>
      <c r="F7">
        <v>23</v>
      </c>
      <c r="G7">
        <v>9</v>
      </c>
      <c r="H7">
        <v>1</v>
      </c>
      <c r="I7">
        <v>12</v>
      </c>
      <c r="J7">
        <f t="shared" si="0"/>
        <v>0.625</v>
      </c>
      <c r="K7" s="5">
        <f t="shared" si="1"/>
        <v>24654</v>
      </c>
    </row>
    <row r="8" spans="1:11" ht="19" x14ac:dyDescent="0.2">
      <c r="A8" t="s">
        <v>13</v>
      </c>
      <c r="B8">
        <v>1968</v>
      </c>
      <c r="C8" s="4" t="s">
        <v>12</v>
      </c>
      <c r="D8">
        <v>14</v>
      </c>
      <c r="E8">
        <v>42</v>
      </c>
      <c r="F8">
        <v>23</v>
      </c>
      <c r="G8">
        <v>7</v>
      </c>
      <c r="H8">
        <v>1</v>
      </c>
      <c r="I8">
        <v>13</v>
      </c>
      <c r="J8">
        <f t="shared" si="0"/>
        <v>0.70114942528735635</v>
      </c>
      <c r="K8" s="5">
        <f t="shared" si="1"/>
        <v>24898</v>
      </c>
    </row>
    <row r="9" spans="1:11" ht="19" x14ac:dyDescent="0.2">
      <c r="A9" t="s">
        <v>13</v>
      </c>
      <c r="B9">
        <v>1969</v>
      </c>
      <c r="C9" s="4" t="s">
        <v>21</v>
      </c>
      <c r="D9">
        <v>30</v>
      </c>
      <c r="E9">
        <v>43</v>
      </c>
      <c r="F9">
        <v>16</v>
      </c>
      <c r="G9">
        <v>5</v>
      </c>
      <c r="H9">
        <v>2</v>
      </c>
      <c r="I9">
        <v>4</v>
      </c>
      <c r="J9">
        <f t="shared" si="0"/>
        <v>0.97916666666666663</v>
      </c>
      <c r="K9" s="5">
        <f t="shared" si="1"/>
        <v>25355</v>
      </c>
    </row>
    <row r="10" spans="1:11" ht="19" x14ac:dyDescent="0.2">
      <c r="A10" t="s">
        <v>13</v>
      </c>
      <c r="B10">
        <v>1970</v>
      </c>
      <c r="C10" s="4" t="s">
        <v>9</v>
      </c>
      <c r="D10">
        <v>27</v>
      </c>
      <c r="E10">
        <v>39</v>
      </c>
      <c r="F10">
        <v>18</v>
      </c>
      <c r="G10">
        <v>7</v>
      </c>
      <c r="H10">
        <v>2</v>
      </c>
      <c r="I10">
        <v>7</v>
      </c>
      <c r="J10">
        <f t="shared" si="0"/>
        <v>0.88172043010752688</v>
      </c>
      <c r="K10" s="5">
        <f t="shared" si="1"/>
        <v>25781</v>
      </c>
    </row>
    <row r="11" spans="1:11" ht="19" x14ac:dyDescent="0.2">
      <c r="A11" t="s">
        <v>13</v>
      </c>
      <c r="B11">
        <v>1971</v>
      </c>
      <c r="C11" s="4" t="s">
        <v>9</v>
      </c>
      <c r="D11">
        <v>15</v>
      </c>
      <c r="E11">
        <v>34</v>
      </c>
      <c r="F11">
        <v>18</v>
      </c>
      <c r="G11">
        <v>24</v>
      </c>
      <c r="H11">
        <v>4</v>
      </c>
      <c r="I11">
        <v>5</v>
      </c>
      <c r="J11">
        <f t="shared" si="0"/>
        <v>0.33684210526315789</v>
      </c>
      <c r="K11" s="5">
        <f t="shared" si="1"/>
        <v>26146</v>
      </c>
    </row>
    <row r="12" spans="1:11" ht="19" x14ac:dyDescent="0.2">
      <c r="A12" t="s">
        <v>13</v>
      </c>
      <c r="B12">
        <v>1972</v>
      </c>
      <c r="C12" s="4" t="s">
        <v>8</v>
      </c>
      <c r="D12">
        <v>2</v>
      </c>
      <c r="E12">
        <v>11</v>
      </c>
      <c r="F12">
        <v>16</v>
      </c>
      <c r="G12">
        <v>32</v>
      </c>
      <c r="H12">
        <v>20</v>
      </c>
      <c r="I12">
        <v>19</v>
      </c>
      <c r="J12">
        <f t="shared" si="0"/>
        <v>-0.70370370370370372</v>
      </c>
      <c r="K12" s="5">
        <f t="shared" si="1"/>
        <v>26390</v>
      </c>
    </row>
    <row r="13" spans="1:11" ht="19" x14ac:dyDescent="0.2">
      <c r="A13" t="s">
        <v>13</v>
      </c>
      <c r="B13">
        <v>1972</v>
      </c>
      <c r="C13" s="4" t="s">
        <v>9</v>
      </c>
      <c r="D13">
        <v>5</v>
      </c>
      <c r="E13">
        <v>19</v>
      </c>
      <c r="F13">
        <v>27</v>
      </c>
      <c r="G13">
        <v>29</v>
      </c>
      <c r="H13">
        <v>15</v>
      </c>
      <c r="I13">
        <v>5</v>
      </c>
      <c r="J13">
        <f t="shared" si="0"/>
        <v>-0.31578947368421051</v>
      </c>
      <c r="K13" s="5">
        <f t="shared" si="1"/>
        <v>26512</v>
      </c>
    </row>
    <row r="14" spans="1:11" ht="19" x14ac:dyDescent="0.2">
      <c r="A14" t="s">
        <v>13</v>
      </c>
      <c r="B14">
        <v>1973</v>
      </c>
      <c r="C14" s="4" t="s">
        <v>15</v>
      </c>
      <c r="D14">
        <v>10</v>
      </c>
      <c r="E14">
        <v>40</v>
      </c>
      <c r="F14">
        <v>31</v>
      </c>
      <c r="G14">
        <v>9</v>
      </c>
      <c r="H14">
        <v>1</v>
      </c>
      <c r="I14">
        <v>9</v>
      </c>
      <c r="J14">
        <f t="shared" si="0"/>
        <v>0.53846153846153844</v>
      </c>
      <c r="K14" s="5">
        <f t="shared" si="1"/>
        <v>26696</v>
      </c>
    </row>
    <row r="15" spans="1:11" ht="19" x14ac:dyDescent="0.2">
      <c r="A15" t="s">
        <v>13</v>
      </c>
      <c r="B15">
        <v>1973</v>
      </c>
      <c r="C15" s="4" t="s">
        <v>16</v>
      </c>
      <c r="D15">
        <v>7</v>
      </c>
      <c r="E15">
        <v>35</v>
      </c>
      <c r="F15">
        <v>34</v>
      </c>
      <c r="G15">
        <v>11</v>
      </c>
      <c r="H15">
        <v>5</v>
      </c>
      <c r="I15">
        <v>8</v>
      </c>
      <c r="J15">
        <f t="shared" si="0"/>
        <v>0.30434782608695654</v>
      </c>
      <c r="K15" s="5">
        <f t="shared" si="1"/>
        <v>26908</v>
      </c>
    </row>
    <row r="16" spans="1:11" ht="19" x14ac:dyDescent="0.2">
      <c r="A16" t="s">
        <v>13</v>
      </c>
      <c r="B16">
        <v>1974</v>
      </c>
      <c r="C16" s="4" t="s">
        <v>12</v>
      </c>
      <c r="D16">
        <v>13</v>
      </c>
      <c r="E16">
        <v>34</v>
      </c>
      <c r="F16">
        <v>21</v>
      </c>
      <c r="G16">
        <v>13</v>
      </c>
      <c r="H16">
        <v>11</v>
      </c>
      <c r="I16">
        <v>8</v>
      </c>
      <c r="J16">
        <f t="shared" si="0"/>
        <v>0.27173913043478259</v>
      </c>
      <c r="K16" s="5">
        <f t="shared" si="1"/>
        <v>27089</v>
      </c>
    </row>
    <row r="17" spans="1:11" ht="19" x14ac:dyDescent="0.2">
      <c r="A17" t="s">
        <v>13</v>
      </c>
      <c r="B17">
        <v>1974</v>
      </c>
      <c r="C17" s="4" t="s">
        <v>16</v>
      </c>
      <c r="D17">
        <v>7</v>
      </c>
      <c r="E17">
        <v>48</v>
      </c>
      <c r="F17">
        <v>27</v>
      </c>
      <c r="G17">
        <v>9</v>
      </c>
      <c r="H17">
        <v>2</v>
      </c>
      <c r="I17">
        <v>7</v>
      </c>
      <c r="J17">
        <f t="shared" si="0"/>
        <v>0.5268817204301075</v>
      </c>
      <c r="K17" s="5">
        <f t="shared" si="1"/>
        <v>27273</v>
      </c>
    </row>
    <row r="18" spans="1:11" ht="19" x14ac:dyDescent="0.2">
      <c r="A18" t="s">
        <v>13</v>
      </c>
      <c r="B18">
        <v>1975</v>
      </c>
      <c r="C18" s="4" t="s">
        <v>8</v>
      </c>
      <c r="D18">
        <v>7</v>
      </c>
      <c r="E18">
        <v>30</v>
      </c>
      <c r="F18">
        <v>26</v>
      </c>
      <c r="G18">
        <v>19</v>
      </c>
      <c r="H18">
        <v>12</v>
      </c>
      <c r="I18">
        <v>6</v>
      </c>
      <c r="J18">
        <f t="shared" si="0"/>
        <v>1.0638297872340425E-2</v>
      </c>
      <c r="K18" s="5">
        <f t="shared" si="1"/>
        <v>27485</v>
      </c>
    </row>
    <row r="19" spans="1:11" ht="19" x14ac:dyDescent="0.2">
      <c r="A19" t="s">
        <v>13</v>
      </c>
      <c r="B19">
        <v>1975</v>
      </c>
      <c r="C19" s="4" t="s">
        <v>16</v>
      </c>
      <c r="D19">
        <v>13</v>
      </c>
      <c r="E19">
        <v>45</v>
      </c>
      <c r="F19">
        <v>18</v>
      </c>
      <c r="G19">
        <v>8</v>
      </c>
      <c r="H19">
        <v>3</v>
      </c>
      <c r="I19">
        <v>13</v>
      </c>
      <c r="J19">
        <f t="shared" si="0"/>
        <v>0.65517241379310343</v>
      </c>
      <c r="K19" s="5">
        <f t="shared" si="1"/>
        <v>27638</v>
      </c>
    </row>
    <row r="20" spans="1:11" ht="19" x14ac:dyDescent="0.2">
      <c r="A20" t="s">
        <v>13</v>
      </c>
      <c r="B20">
        <v>1976</v>
      </c>
      <c r="C20" s="4" t="s">
        <v>8</v>
      </c>
      <c r="D20">
        <v>11</v>
      </c>
      <c r="E20">
        <v>30</v>
      </c>
      <c r="F20">
        <v>18</v>
      </c>
      <c r="G20">
        <v>12</v>
      </c>
      <c r="H20">
        <v>2</v>
      </c>
      <c r="I20">
        <v>18</v>
      </c>
      <c r="J20">
        <f t="shared" si="0"/>
        <v>0.49315068493150682</v>
      </c>
      <c r="K20" s="5">
        <f t="shared" si="1"/>
        <v>27851</v>
      </c>
    </row>
    <row r="21" spans="1:11" ht="19" x14ac:dyDescent="0.2">
      <c r="A21" t="s">
        <v>13</v>
      </c>
      <c r="B21">
        <v>1976</v>
      </c>
      <c r="C21" s="4" t="s">
        <v>16</v>
      </c>
      <c r="D21">
        <v>24</v>
      </c>
      <c r="E21">
        <v>43</v>
      </c>
      <c r="F21">
        <v>15</v>
      </c>
      <c r="G21">
        <v>10</v>
      </c>
      <c r="H21">
        <v>1</v>
      </c>
      <c r="I21">
        <v>7</v>
      </c>
      <c r="J21">
        <f t="shared" si="0"/>
        <v>0.84946236559139787</v>
      </c>
      <c r="K21" s="5">
        <f t="shared" si="1"/>
        <v>28004</v>
      </c>
    </row>
    <row r="22" spans="1:11" ht="19" x14ac:dyDescent="0.2">
      <c r="A22" t="s">
        <v>13</v>
      </c>
      <c r="B22">
        <v>1977</v>
      </c>
      <c r="C22" s="4" t="s">
        <v>17</v>
      </c>
      <c r="D22">
        <v>9</v>
      </c>
      <c r="E22">
        <v>49</v>
      </c>
      <c r="F22">
        <v>18</v>
      </c>
      <c r="G22">
        <v>9</v>
      </c>
      <c r="H22">
        <v>1</v>
      </c>
      <c r="I22">
        <v>14</v>
      </c>
      <c r="J22">
        <f t="shared" si="0"/>
        <v>0.65116279069767447</v>
      </c>
      <c r="K22" s="5">
        <f t="shared" si="1"/>
        <v>28246</v>
      </c>
    </row>
    <row r="23" spans="1:11" ht="19" x14ac:dyDescent="0.2">
      <c r="A23" t="s">
        <v>13</v>
      </c>
      <c r="B23">
        <v>1977</v>
      </c>
      <c r="C23" s="4" t="s">
        <v>9</v>
      </c>
      <c r="D23">
        <v>20</v>
      </c>
      <c r="E23">
        <v>53</v>
      </c>
      <c r="F23">
        <v>16</v>
      </c>
      <c r="G23">
        <v>5</v>
      </c>
      <c r="H23">
        <v>1</v>
      </c>
      <c r="I23">
        <v>5</v>
      </c>
      <c r="J23">
        <f t="shared" si="0"/>
        <v>0.90526315789473688</v>
      </c>
      <c r="K23" s="5">
        <f t="shared" si="1"/>
        <v>28338</v>
      </c>
    </row>
    <row r="24" spans="1:11" ht="19" x14ac:dyDescent="0.2">
      <c r="A24" t="s">
        <v>13</v>
      </c>
      <c r="B24">
        <v>1978</v>
      </c>
      <c r="C24" s="4" t="s">
        <v>15</v>
      </c>
      <c r="D24">
        <v>19</v>
      </c>
      <c r="E24">
        <v>56</v>
      </c>
      <c r="F24">
        <v>16</v>
      </c>
      <c r="G24">
        <v>5</v>
      </c>
      <c r="H24">
        <v>1</v>
      </c>
      <c r="I24">
        <v>3</v>
      </c>
      <c r="J24">
        <f t="shared" si="0"/>
        <v>0.89690721649484539</v>
      </c>
      <c r="K24" s="5">
        <f t="shared" si="1"/>
        <v>28522</v>
      </c>
    </row>
    <row r="25" spans="1:11" ht="19" x14ac:dyDescent="0.2">
      <c r="A25" t="s">
        <v>13</v>
      </c>
      <c r="B25">
        <v>1979</v>
      </c>
      <c r="C25" s="4" t="s">
        <v>17</v>
      </c>
      <c r="D25">
        <v>14</v>
      </c>
      <c r="E25">
        <v>57</v>
      </c>
      <c r="F25">
        <v>16</v>
      </c>
      <c r="G25">
        <v>6</v>
      </c>
      <c r="H25">
        <v>1</v>
      </c>
      <c r="I25">
        <v>6</v>
      </c>
      <c r="J25">
        <f t="shared" si="0"/>
        <v>0.81914893617021278</v>
      </c>
      <c r="K25" s="5">
        <f t="shared" si="1"/>
        <v>28976</v>
      </c>
    </row>
    <row r="26" spans="1:11" ht="19" x14ac:dyDescent="0.2">
      <c r="A26" t="s">
        <v>13</v>
      </c>
      <c r="B26">
        <v>1980</v>
      </c>
      <c r="C26" s="4" t="s">
        <v>12</v>
      </c>
      <c r="D26">
        <v>18</v>
      </c>
      <c r="E26">
        <v>48</v>
      </c>
      <c r="F26">
        <v>21</v>
      </c>
      <c r="G26">
        <v>5</v>
      </c>
      <c r="H26">
        <v>1</v>
      </c>
      <c r="I26">
        <v>7</v>
      </c>
      <c r="J26">
        <f t="shared" si="0"/>
        <v>0.82795698924731187</v>
      </c>
      <c r="K26" s="5">
        <f t="shared" si="1"/>
        <v>29281</v>
      </c>
    </row>
    <row r="27" spans="1:11" ht="19" x14ac:dyDescent="0.2">
      <c r="A27" t="s">
        <v>13</v>
      </c>
      <c r="B27">
        <v>1980</v>
      </c>
      <c r="C27" s="4" t="s">
        <v>18</v>
      </c>
      <c r="D27">
        <v>18</v>
      </c>
      <c r="E27">
        <v>47</v>
      </c>
      <c r="F27">
        <v>21</v>
      </c>
      <c r="G27">
        <v>5</v>
      </c>
      <c r="H27">
        <v>1</v>
      </c>
      <c r="I27">
        <v>8</v>
      </c>
      <c r="J27">
        <f t="shared" si="0"/>
        <v>0.82608695652173914</v>
      </c>
      <c r="K27" s="5">
        <f t="shared" si="1"/>
        <v>29556</v>
      </c>
    </row>
    <row r="28" spans="1:11" ht="19" x14ac:dyDescent="0.2">
      <c r="A28" t="s">
        <v>13</v>
      </c>
      <c r="B28">
        <v>1982</v>
      </c>
      <c r="C28" s="4" t="s">
        <v>15</v>
      </c>
      <c r="D28">
        <v>10</v>
      </c>
      <c r="E28">
        <v>47</v>
      </c>
      <c r="F28">
        <v>26</v>
      </c>
      <c r="G28">
        <v>10</v>
      </c>
      <c r="H28">
        <v>2</v>
      </c>
      <c r="I28">
        <v>6</v>
      </c>
      <c r="J28">
        <f t="shared" si="0"/>
        <v>0.55789473684210522</v>
      </c>
      <c r="K28" s="5">
        <f t="shared" si="1"/>
        <v>29983</v>
      </c>
    </row>
    <row r="29" spans="1:11" ht="19" x14ac:dyDescent="0.2">
      <c r="A29" t="s">
        <v>13</v>
      </c>
      <c r="B29">
        <v>1982</v>
      </c>
      <c r="C29" s="4" t="s">
        <v>16</v>
      </c>
      <c r="D29">
        <v>11</v>
      </c>
      <c r="E29">
        <v>41</v>
      </c>
      <c r="F29">
        <v>26</v>
      </c>
      <c r="G29">
        <v>7</v>
      </c>
      <c r="H29">
        <v>2</v>
      </c>
      <c r="I29">
        <v>13</v>
      </c>
      <c r="J29">
        <f t="shared" si="0"/>
        <v>0.5977011494252874</v>
      </c>
      <c r="K29" s="5">
        <f t="shared" si="1"/>
        <v>30195</v>
      </c>
    </row>
    <row r="30" spans="1:11" ht="19" x14ac:dyDescent="0.2">
      <c r="A30" t="s">
        <v>13</v>
      </c>
      <c r="B30">
        <v>1983</v>
      </c>
      <c r="C30" s="4" t="s">
        <v>8</v>
      </c>
      <c r="D30">
        <v>10</v>
      </c>
      <c r="E30">
        <v>51</v>
      </c>
      <c r="F30">
        <v>23</v>
      </c>
      <c r="G30">
        <v>5</v>
      </c>
      <c r="H30">
        <v>1</v>
      </c>
      <c r="I30">
        <v>10</v>
      </c>
      <c r="J30">
        <f t="shared" si="0"/>
        <v>0.71111111111111114</v>
      </c>
      <c r="K30" s="5">
        <f t="shared" si="1"/>
        <v>30407</v>
      </c>
    </row>
    <row r="31" spans="1:11" ht="19" x14ac:dyDescent="0.2">
      <c r="A31" t="s">
        <v>13</v>
      </c>
      <c r="B31">
        <v>1984</v>
      </c>
      <c r="C31" s="4" t="s">
        <v>16</v>
      </c>
      <c r="D31">
        <v>23</v>
      </c>
      <c r="E31">
        <v>48</v>
      </c>
      <c r="F31">
        <v>21</v>
      </c>
      <c r="G31">
        <v>5</v>
      </c>
      <c r="H31">
        <v>1</v>
      </c>
      <c r="I31">
        <v>3</v>
      </c>
      <c r="J31">
        <f t="shared" si="0"/>
        <v>0.88775510204081631</v>
      </c>
      <c r="K31" s="5">
        <f t="shared" si="1"/>
        <v>30926</v>
      </c>
    </row>
    <row r="32" spans="1:11" ht="19" x14ac:dyDescent="0.2">
      <c r="A32" t="s">
        <v>13</v>
      </c>
      <c r="B32">
        <v>1985</v>
      </c>
      <c r="C32" s="4" t="s">
        <v>12</v>
      </c>
      <c r="D32">
        <v>21</v>
      </c>
      <c r="E32">
        <v>52</v>
      </c>
      <c r="F32">
        <v>20</v>
      </c>
      <c r="G32">
        <v>5</v>
      </c>
      <c r="H32">
        <v>1</v>
      </c>
      <c r="I32">
        <v>2</v>
      </c>
      <c r="J32">
        <f t="shared" si="0"/>
        <v>0.87878787878787878</v>
      </c>
      <c r="K32" s="5">
        <f t="shared" si="1"/>
        <v>31107</v>
      </c>
    </row>
    <row r="33" spans="1:11" ht="19" x14ac:dyDescent="0.2">
      <c r="A33" t="s">
        <v>13</v>
      </c>
      <c r="B33">
        <v>1985</v>
      </c>
      <c r="C33" s="4" t="s">
        <v>16</v>
      </c>
      <c r="D33">
        <v>18</v>
      </c>
      <c r="E33">
        <v>47</v>
      </c>
      <c r="F33">
        <v>21</v>
      </c>
      <c r="G33">
        <v>6</v>
      </c>
      <c r="H33">
        <v>2</v>
      </c>
      <c r="I33">
        <v>8</v>
      </c>
      <c r="J33">
        <f t="shared" si="0"/>
        <v>0.77659574468085102</v>
      </c>
      <c r="K33" s="5">
        <f t="shared" si="1"/>
        <v>31291</v>
      </c>
    </row>
    <row r="34" spans="1:11" ht="19" x14ac:dyDescent="0.2">
      <c r="A34" t="s">
        <v>13</v>
      </c>
      <c r="B34">
        <v>1986</v>
      </c>
      <c r="C34" s="4" t="s">
        <v>12</v>
      </c>
      <c r="D34">
        <v>18</v>
      </c>
      <c r="E34">
        <v>48</v>
      </c>
      <c r="F34">
        <v>21</v>
      </c>
      <c r="G34">
        <v>6</v>
      </c>
      <c r="H34">
        <v>3</v>
      </c>
      <c r="I34">
        <v>4</v>
      </c>
      <c r="J34">
        <f t="shared" si="0"/>
        <v>0.75</v>
      </c>
      <c r="K34" s="5">
        <f t="shared" si="1"/>
        <v>31472</v>
      </c>
    </row>
    <row r="35" spans="1:11" ht="19" x14ac:dyDescent="0.2">
      <c r="A35" t="s">
        <v>13</v>
      </c>
      <c r="B35">
        <v>1986</v>
      </c>
      <c r="C35" s="4" t="s">
        <v>16</v>
      </c>
      <c r="D35">
        <v>23</v>
      </c>
      <c r="E35">
        <v>46</v>
      </c>
      <c r="F35">
        <v>19</v>
      </c>
      <c r="G35">
        <v>6</v>
      </c>
      <c r="H35">
        <v>3</v>
      </c>
      <c r="I35">
        <v>5</v>
      </c>
      <c r="J35">
        <f t="shared" si="0"/>
        <v>0.82474226804123707</v>
      </c>
      <c r="K35" s="5">
        <f t="shared" si="1"/>
        <v>31656</v>
      </c>
    </row>
    <row r="36" spans="1:11" ht="19" x14ac:dyDescent="0.2">
      <c r="A36" t="s">
        <v>13</v>
      </c>
      <c r="B36">
        <v>1987</v>
      </c>
      <c r="C36" s="4" t="s">
        <v>12</v>
      </c>
      <c r="D36">
        <v>25</v>
      </c>
      <c r="E36">
        <v>44</v>
      </c>
      <c r="F36">
        <v>19</v>
      </c>
      <c r="G36">
        <v>4</v>
      </c>
      <c r="H36">
        <v>2</v>
      </c>
      <c r="I36">
        <v>6</v>
      </c>
      <c r="J36">
        <f t="shared" si="0"/>
        <v>0.91489361702127658</v>
      </c>
      <c r="K36" s="5">
        <f t="shared" si="1"/>
        <v>31837</v>
      </c>
    </row>
    <row r="37" spans="1:11" ht="19" x14ac:dyDescent="0.2">
      <c r="A37" t="s">
        <v>13</v>
      </c>
      <c r="B37">
        <v>1987</v>
      </c>
      <c r="C37" s="4" t="s">
        <v>19</v>
      </c>
      <c r="D37">
        <v>33</v>
      </c>
      <c r="E37">
        <v>44</v>
      </c>
      <c r="F37">
        <v>15</v>
      </c>
      <c r="G37">
        <v>3</v>
      </c>
      <c r="H37">
        <v>1</v>
      </c>
      <c r="I37">
        <v>3</v>
      </c>
      <c r="J37">
        <f t="shared" si="0"/>
        <v>1.09375</v>
      </c>
      <c r="K37" s="5">
        <f t="shared" si="1"/>
        <v>32051</v>
      </c>
    </row>
    <row r="38" spans="1:11" ht="19" x14ac:dyDescent="0.2">
      <c r="A38" t="s">
        <v>13</v>
      </c>
      <c r="B38">
        <v>1988</v>
      </c>
      <c r="C38" s="4" t="s">
        <v>22</v>
      </c>
      <c r="D38">
        <v>20</v>
      </c>
      <c r="E38">
        <v>47</v>
      </c>
      <c r="F38">
        <v>21</v>
      </c>
      <c r="G38">
        <v>7</v>
      </c>
      <c r="H38">
        <v>2</v>
      </c>
      <c r="I38">
        <v>4</v>
      </c>
      <c r="J38">
        <f t="shared" si="0"/>
        <v>0.78350515463917525</v>
      </c>
      <c r="K38" s="5">
        <f t="shared" si="1"/>
        <v>32143</v>
      </c>
    </row>
    <row r="39" spans="1:11" ht="19" x14ac:dyDescent="0.2">
      <c r="A39" t="s">
        <v>13</v>
      </c>
      <c r="B39">
        <v>1988</v>
      </c>
      <c r="C39" s="4" t="s">
        <v>8</v>
      </c>
      <c r="D39">
        <v>26</v>
      </c>
      <c r="E39">
        <v>45</v>
      </c>
      <c r="F39">
        <v>19</v>
      </c>
      <c r="G39">
        <v>5</v>
      </c>
      <c r="H39">
        <v>1</v>
      </c>
      <c r="I39">
        <v>4</v>
      </c>
      <c r="J39">
        <f t="shared" si="0"/>
        <v>0.9375</v>
      </c>
      <c r="K39" s="5">
        <f t="shared" si="1"/>
        <v>32234</v>
      </c>
    </row>
    <row r="40" spans="1:11" ht="19" x14ac:dyDescent="0.2">
      <c r="A40" t="s">
        <v>14</v>
      </c>
      <c r="B40">
        <v>1959</v>
      </c>
      <c r="C40" s="4" t="s">
        <v>21</v>
      </c>
      <c r="D40">
        <v>9</v>
      </c>
      <c r="E40">
        <v>21</v>
      </c>
      <c r="F40">
        <v>8</v>
      </c>
      <c r="G40">
        <v>1</v>
      </c>
      <c r="H40">
        <v>1</v>
      </c>
      <c r="I40">
        <v>59</v>
      </c>
      <c r="J40">
        <f>((D40*2)+(E40*1)+(G40*-1)+(H40*-2))/SUM(D40:H40)</f>
        <v>0.9</v>
      </c>
      <c r="K40" s="5">
        <f t="shared" si="1"/>
        <v>21702</v>
      </c>
    </row>
    <row r="41" spans="1:11" ht="19" x14ac:dyDescent="0.2">
      <c r="A41" t="s">
        <v>14</v>
      </c>
      <c r="B41">
        <v>1963</v>
      </c>
      <c r="C41" s="4" t="s">
        <v>10</v>
      </c>
      <c r="D41">
        <v>3</v>
      </c>
      <c r="E41">
        <v>26</v>
      </c>
      <c r="F41">
        <v>27</v>
      </c>
      <c r="G41">
        <v>15</v>
      </c>
      <c r="H41">
        <v>2</v>
      </c>
      <c r="I41">
        <v>27</v>
      </c>
      <c r="J41">
        <f t="shared" ref="J41:J77" si="2">((D41*2)+(E41*1)+(G41*-1)+(H41*-2))/SUM(D41:H41)</f>
        <v>0.17808219178082191</v>
      </c>
      <c r="K41" s="5">
        <f t="shared" si="1"/>
        <v>23193</v>
      </c>
    </row>
    <row r="42" spans="1:11" ht="19" x14ac:dyDescent="0.2">
      <c r="A42" t="s">
        <v>14</v>
      </c>
      <c r="B42">
        <v>1965</v>
      </c>
      <c r="C42" s="4" t="s">
        <v>21</v>
      </c>
      <c r="D42">
        <v>16</v>
      </c>
      <c r="E42">
        <v>64</v>
      </c>
      <c r="F42">
        <v>11</v>
      </c>
      <c r="G42">
        <v>1</v>
      </c>
      <c r="H42">
        <v>0</v>
      </c>
      <c r="I42">
        <v>0</v>
      </c>
      <c r="J42">
        <f t="shared" si="2"/>
        <v>1.0326086956521738</v>
      </c>
      <c r="K42" s="5">
        <f t="shared" si="1"/>
        <v>23894</v>
      </c>
    </row>
    <row r="43" spans="1:11" ht="19" x14ac:dyDescent="0.2">
      <c r="A43" t="s">
        <v>14</v>
      </c>
      <c r="B43">
        <v>1966</v>
      </c>
      <c r="C43" s="4" t="s">
        <v>12</v>
      </c>
      <c r="D43">
        <v>39</v>
      </c>
      <c r="E43">
        <v>51</v>
      </c>
      <c r="F43">
        <v>4</v>
      </c>
      <c r="G43">
        <v>0</v>
      </c>
      <c r="H43">
        <v>0</v>
      </c>
      <c r="I43">
        <v>6</v>
      </c>
      <c r="J43">
        <f t="shared" si="2"/>
        <v>1.3723404255319149</v>
      </c>
      <c r="K43" s="5">
        <f t="shared" si="1"/>
        <v>24167</v>
      </c>
    </row>
    <row r="44" spans="1:11" ht="19" x14ac:dyDescent="0.2">
      <c r="A44" t="s">
        <v>14</v>
      </c>
      <c r="B44">
        <v>1966</v>
      </c>
      <c r="C44" s="4" t="s">
        <v>9</v>
      </c>
      <c r="D44">
        <v>30</v>
      </c>
      <c r="E44">
        <v>56</v>
      </c>
      <c r="F44">
        <v>7</v>
      </c>
      <c r="G44">
        <v>1</v>
      </c>
      <c r="H44">
        <v>0</v>
      </c>
      <c r="I44">
        <v>6</v>
      </c>
      <c r="J44">
        <f t="shared" si="2"/>
        <v>1.2234042553191489</v>
      </c>
      <c r="K44" s="5">
        <f t="shared" si="1"/>
        <v>24320</v>
      </c>
    </row>
    <row r="45" spans="1:11" ht="19" x14ac:dyDescent="0.2">
      <c r="A45" t="s">
        <v>14</v>
      </c>
      <c r="B45">
        <v>1967</v>
      </c>
      <c r="C45" s="4" t="s">
        <v>10</v>
      </c>
      <c r="D45">
        <v>11</v>
      </c>
      <c r="E45">
        <v>53</v>
      </c>
      <c r="F45">
        <v>21</v>
      </c>
      <c r="G45">
        <v>3</v>
      </c>
      <c r="H45">
        <v>0</v>
      </c>
      <c r="I45">
        <v>12</v>
      </c>
      <c r="J45">
        <f t="shared" si="2"/>
        <v>0.81818181818181823</v>
      </c>
      <c r="K45" s="5">
        <f t="shared" si="1"/>
        <v>24654</v>
      </c>
    </row>
    <row r="46" spans="1:11" ht="19" x14ac:dyDescent="0.2">
      <c r="A46" t="s">
        <v>14</v>
      </c>
      <c r="B46">
        <v>1968</v>
      </c>
      <c r="C46" s="4" t="s">
        <v>12</v>
      </c>
      <c r="D46">
        <v>13</v>
      </c>
      <c r="E46">
        <v>51</v>
      </c>
      <c r="F46">
        <v>17</v>
      </c>
      <c r="G46">
        <v>3</v>
      </c>
      <c r="H46">
        <v>0</v>
      </c>
      <c r="I46">
        <v>16</v>
      </c>
      <c r="J46">
        <f t="shared" si="2"/>
        <v>0.88095238095238093</v>
      </c>
      <c r="K46" s="5">
        <f t="shared" si="1"/>
        <v>24898</v>
      </c>
    </row>
    <row r="47" spans="1:11" ht="19" x14ac:dyDescent="0.2">
      <c r="A47" t="s">
        <v>14</v>
      </c>
      <c r="B47">
        <v>1969</v>
      </c>
      <c r="C47" s="4" t="s">
        <v>21</v>
      </c>
      <c r="D47">
        <v>16</v>
      </c>
      <c r="E47">
        <v>45</v>
      </c>
      <c r="F47">
        <v>24</v>
      </c>
      <c r="G47">
        <v>7</v>
      </c>
      <c r="H47">
        <v>1</v>
      </c>
      <c r="I47">
        <v>7</v>
      </c>
      <c r="J47">
        <f t="shared" si="2"/>
        <v>0.73118279569892475</v>
      </c>
      <c r="K47" s="5">
        <f t="shared" si="1"/>
        <v>25355</v>
      </c>
    </row>
    <row r="48" spans="1:11" ht="19" x14ac:dyDescent="0.2">
      <c r="A48" t="s">
        <v>14</v>
      </c>
      <c r="B48">
        <v>1970</v>
      </c>
      <c r="C48" s="4" t="s">
        <v>9</v>
      </c>
      <c r="D48">
        <v>10</v>
      </c>
      <c r="E48">
        <v>41</v>
      </c>
      <c r="F48">
        <v>25</v>
      </c>
      <c r="G48">
        <v>11</v>
      </c>
      <c r="H48">
        <v>2</v>
      </c>
      <c r="I48">
        <v>11</v>
      </c>
      <c r="J48">
        <f t="shared" si="2"/>
        <v>0.5168539325842697</v>
      </c>
      <c r="K48" s="5">
        <f t="shared" si="1"/>
        <v>25781</v>
      </c>
    </row>
    <row r="49" spans="1:11" ht="19" x14ac:dyDescent="0.2">
      <c r="A49" t="s">
        <v>14</v>
      </c>
      <c r="B49">
        <v>1971</v>
      </c>
      <c r="C49" s="4" t="s">
        <v>9</v>
      </c>
      <c r="D49">
        <v>14</v>
      </c>
      <c r="E49">
        <v>45</v>
      </c>
      <c r="F49">
        <v>25</v>
      </c>
      <c r="G49">
        <v>8</v>
      </c>
      <c r="H49">
        <v>1</v>
      </c>
      <c r="I49">
        <v>7</v>
      </c>
      <c r="J49">
        <f t="shared" si="2"/>
        <v>0.67741935483870963</v>
      </c>
      <c r="K49" s="5">
        <f t="shared" si="1"/>
        <v>26146</v>
      </c>
    </row>
    <row r="50" spans="1:11" ht="19" x14ac:dyDescent="0.2">
      <c r="A50" t="s">
        <v>14</v>
      </c>
      <c r="B50">
        <v>1972</v>
      </c>
      <c r="C50" s="4" t="s">
        <v>8</v>
      </c>
      <c r="D50">
        <v>43</v>
      </c>
      <c r="E50">
        <v>33</v>
      </c>
      <c r="F50">
        <v>4</v>
      </c>
      <c r="G50">
        <v>2</v>
      </c>
      <c r="H50">
        <v>0</v>
      </c>
      <c r="I50">
        <v>18</v>
      </c>
      <c r="J50">
        <f t="shared" si="2"/>
        <v>1.4268292682926829</v>
      </c>
      <c r="K50" s="5">
        <f t="shared" si="1"/>
        <v>26390</v>
      </c>
    </row>
    <row r="51" spans="1:11" ht="19" x14ac:dyDescent="0.2">
      <c r="A51" t="s">
        <v>14</v>
      </c>
      <c r="B51">
        <v>1972</v>
      </c>
      <c r="C51" s="4" t="s">
        <v>9</v>
      </c>
      <c r="D51">
        <v>44</v>
      </c>
      <c r="E51">
        <v>41</v>
      </c>
      <c r="F51">
        <v>9</v>
      </c>
      <c r="G51">
        <v>2</v>
      </c>
      <c r="H51">
        <v>0</v>
      </c>
      <c r="I51">
        <v>4</v>
      </c>
      <c r="J51">
        <f t="shared" si="2"/>
        <v>1.3229166666666667</v>
      </c>
      <c r="K51" s="5">
        <f t="shared" si="1"/>
        <v>26512</v>
      </c>
    </row>
    <row r="52" spans="1:11" ht="19" x14ac:dyDescent="0.2">
      <c r="A52" t="s">
        <v>14</v>
      </c>
      <c r="B52">
        <v>1973</v>
      </c>
      <c r="C52" s="4" t="s">
        <v>15</v>
      </c>
      <c r="D52">
        <v>22</v>
      </c>
      <c r="E52">
        <v>52</v>
      </c>
      <c r="F52">
        <v>12</v>
      </c>
      <c r="G52">
        <v>3</v>
      </c>
      <c r="H52">
        <v>1</v>
      </c>
      <c r="I52">
        <v>10</v>
      </c>
      <c r="J52">
        <f t="shared" si="2"/>
        <v>1.0111111111111111</v>
      </c>
      <c r="K52" s="5">
        <f t="shared" si="1"/>
        <v>26696</v>
      </c>
    </row>
    <row r="53" spans="1:11" ht="19" x14ac:dyDescent="0.2">
      <c r="A53" t="s">
        <v>14</v>
      </c>
      <c r="B53">
        <v>1973</v>
      </c>
      <c r="C53" s="4" t="s">
        <v>16</v>
      </c>
      <c r="D53">
        <v>32</v>
      </c>
      <c r="E53">
        <v>47</v>
      </c>
      <c r="F53">
        <v>11</v>
      </c>
      <c r="G53">
        <v>1</v>
      </c>
      <c r="H53">
        <v>1</v>
      </c>
      <c r="I53">
        <v>8</v>
      </c>
      <c r="J53">
        <f t="shared" si="2"/>
        <v>1.173913043478261</v>
      </c>
      <c r="K53" s="5">
        <f t="shared" si="1"/>
        <v>26908</v>
      </c>
    </row>
    <row r="54" spans="1:11" ht="19" x14ac:dyDescent="0.2">
      <c r="A54" t="s">
        <v>14</v>
      </c>
      <c r="B54">
        <v>1974</v>
      </c>
      <c r="C54" s="4" t="s">
        <v>12</v>
      </c>
      <c r="D54">
        <v>27</v>
      </c>
      <c r="E54">
        <v>50</v>
      </c>
      <c r="F54">
        <v>10</v>
      </c>
      <c r="G54">
        <v>2</v>
      </c>
      <c r="I54">
        <v>11</v>
      </c>
      <c r="J54">
        <f t="shared" si="2"/>
        <v>1.146067415730337</v>
      </c>
      <c r="K54" s="5">
        <f t="shared" si="1"/>
        <v>27089</v>
      </c>
    </row>
    <row r="55" spans="1:11" ht="19" x14ac:dyDescent="0.2">
      <c r="A55" t="s">
        <v>14</v>
      </c>
      <c r="B55">
        <v>1974</v>
      </c>
      <c r="C55" s="4" t="s">
        <v>16</v>
      </c>
      <c r="D55">
        <v>28</v>
      </c>
      <c r="E55">
        <v>45</v>
      </c>
      <c r="F55">
        <v>15</v>
      </c>
      <c r="G55">
        <v>3</v>
      </c>
      <c r="H55">
        <v>1</v>
      </c>
      <c r="I55">
        <v>8</v>
      </c>
      <c r="J55">
        <f t="shared" si="2"/>
        <v>1.0434782608695652</v>
      </c>
      <c r="K55" s="5">
        <f t="shared" si="1"/>
        <v>27273</v>
      </c>
    </row>
    <row r="56" spans="1:11" ht="19" x14ac:dyDescent="0.2">
      <c r="A56" t="s">
        <v>14</v>
      </c>
      <c r="B56">
        <v>1975</v>
      </c>
      <c r="C56" s="4" t="s">
        <v>8</v>
      </c>
      <c r="D56">
        <v>18</v>
      </c>
      <c r="E56">
        <v>57</v>
      </c>
      <c r="F56">
        <v>14</v>
      </c>
      <c r="G56">
        <v>3</v>
      </c>
      <c r="I56">
        <v>8</v>
      </c>
      <c r="J56">
        <f t="shared" si="2"/>
        <v>0.97826086956521741</v>
      </c>
      <c r="K56" s="5">
        <f t="shared" si="1"/>
        <v>27485</v>
      </c>
    </row>
    <row r="57" spans="1:11" ht="19" x14ac:dyDescent="0.2">
      <c r="A57" t="s">
        <v>14</v>
      </c>
      <c r="B57">
        <v>1975</v>
      </c>
      <c r="C57" s="4" t="s">
        <v>16</v>
      </c>
      <c r="D57">
        <v>20</v>
      </c>
      <c r="E57">
        <v>48</v>
      </c>
      <c r="F57">
        <v>15</v>
      </c>
      <c r="G57">
        <v>3</v>
      </c>
      <c r="I57">
        <v>14</v>
      </c>
      <c r="J57">
        <f t="shared" si="2"/>
        <v>0.98837209302325579</v>
      </c>
      <c r="K57" s="5">
        <f t="shared" si="1"/>
        <v>27638</v>
      </c>
    </row>
    <row r="58" spans="1:11" ht="19" x14ac:dyDescent="0.2">
      <c r="A58" t="s">
        <v>14</v>
      </c>
      <c r="B58">
        <v>1976</v>
      </c>
      <c r="C58" s="4" t="s">
        <v>8</v>
      </c>
      <c r="D58">
        <v>17</v>
      </c>
      <c r="E58">
        <v>45</v>
      </c>
      <c r="F58">
        <v>15</v>
      </c>
      <c r="G58">
        <v>3</v>
      </c>
      <c r="H58">
        <v>1</v>
      </c>
      <c r="I58">
        <v>19</v>
      </c>
      <c r="J58">
        <f t="shared" si="2"/>
        <v>0.9135802469135802</v>
      </c>
      <c r="K58" s="5">
        <f t="shared" si="1"/>
        <v>27851</v>
      </c>
    </row>
    <row r="59" spans="1:11" ht="19" x14ac:dyDescent="0.2">
      <c r="A59" t="s">
        <v>14</v>
      </c>
      <c r="B59">
        <v>1976</v>
      </c>
      <c r="C59" s="4" t="s">
        <v>16</v>
      </c>
      <c r="D59">
        <v>35</v>
      </c>
      <c r="E59">
        <v>43</v>
      </c>
      <c r="F59">
        <v>12</v>
      </c>
      <c r="G59">
        <v>1</v>
      </c>
      <c r="I59">
        <v>9</v>
      </c>
      <c r="J59">
        <f t="shared" si="2"/>
        <v>1.2307692307692308</v>
      </c>
      <c r="K59" s="5">
        <f t="shared" si="1"/>
        <v>28004</v>
      </c>
    </row>
    <row r="60" spans="1:11" ht="19" x14ac:dyDescent="0.2">
      <c r="A60" t="s">
        <v>14</v>
      </c>
      <c r="B60">
        <v>1977</v>
      </c>
      <c r="C60" s="4" t="s">
        <v>17</v>
      </c>
      <c r="D60">
        <v>10</v>
      </c>
      <c r="E60">
        <v>50</v>
      </c>
      <c r="F60">
        <v>19</v>
      </c>
      <c r="G60">
        <v>4</v>
      </c>
      <c r="I60">
        <v>16</v>
      </c>
      <c r="J60">
        <f t="shared" si="2"/>
        <v>0.79518072289156627</v>
      </c>
      <c r="K60" s="5">
        <f t="shared" si="1"/>
        <v>28246</v>
      </c>
    </row>
    <row r="61" spans="1:11" ht="19" x14ac:dyDescent="0.2">
      <c r="A61" t="s">
        <v>14</v>
      </c>
      <c r="B61">
        <v>1977</v>
      </c>
      <c r="C61" s="4" t="s">
        <v>9</v>
      </c>
      <c r="D61">
        <v>17</v>
      </c>
      <c r="E61">
        <v>52</v>
      </c>
      <c r="F61">
        <v>17</v>
      </c>
      <c r="G61">
        <v>3</v>
      </c>
      <c r="H61">
        <v>2</v>
      </c>
      <c r="I61">
        <v>9</v>
      </c>
      <c r="J61">
        <f t="shared" si="2"/>
        <v>0.86813186813186816</v>
      </c>
      <c r="K61" s="5">
        <f t="shared" si="1"/>
        <v>28338</v>
      </c>
    </row>
    <row r="62" spans="1:11" ht="19" x14ac:dyDescent="0.2">
      <c r="A62" t="s">
        <v>14</v>
      </c>
      <c r="B62">
        <v>1978</v>
      </c>
      <c r="C62" s="4" t="s">
        <v>15</v>
      </c>
      <c r="D62">
        <v>15</v>
      </c>
      <c r="E62">
        <v>53</v>
      </c>
      <c r="F62">
        <v>20</v>
      </c>
      <c r="G62">
        <v>3</v>
      </c>
      <c r="H62">
        <v>1</v>
      </c>
      <c r="I62">
        <v>8</v>
      </c>
      <c r="J62">
        <f t="shared" si="2"/>
        <v>0.84782608695652173</v>
      </c>
      <c r="K62" s="5">
        <f t="shared" si="1"/>
        <v>28522</v>
      </c>
    </row>
    <row r="63" spans="1:11" ht="19" x14ac:dyDescent="0.2">
      <c r="A63" t="s">
        <v>14</v>
      </c>
      <c r="B63">
        <v>1979</v>
      </c>
      <c r="C63" s="4" t="s">
        <v>17</v>
      </c>
      <c r="D63">
        <v>14</v>
      </c>
      <c r="E63">
        <v>57</v>
      </c>
      <c r="F63">
        <v>16</v>
      </c>
      <c r="G63">
        <v>2</v>
      </c>
      <c r="I63">
        <v>11</v>
      </c>
      <c r="J63">
        <f t="shared" si="2"/>
        <v>0.93258426966292129</v>
      </c>
      <c r="K63" s="5">
        <f t="shared" si="1"/>
        <v>28976</v>
      </c>
    </row>
    <row r="64" spans="1:11" ht="19" x14ac:dyDescent="0.2">
      <c r="A64" t="s">
        <v>14</v>
      </c>
      <c r="B64">
        <v>1980</v>
      </c>
      <c r="C64" s="4" t="s">
        <v>12</v>
      </c>
      <c r="D64">
        <v>11</v>
      </c>
      <c r="E64">
        <v>48</v>
      </c>
      <c r="F64">
        <v>21</v>
      </c>
      <c r="G64">
        <v>4</v>
      </c>
      <c r="H64">
        <v>1</v>
      </c>
      <c r="I64">
        <v>9</v>
      </c>
      <c r="J64">
        <f t="shared" si="2"/>
        <v>0.75294117647058822</v>
      </c>
      <c r="K64" s="5">
        <f t="shared" si="1"/>
        <v>29281</v>
      </c>
    </row>
    <row r="65" spans="1:11" ht="19" x14ac:dyDescent="0.2">
      <c r="A65" t="s">
        <v>14</v>
      </c>
      <c r="B65">
        <v>1980</v>
      </c>
      <c r="C65" s="4" t="s">
        <v>18</v>
      </c>
      <c r="D65">
        <v>21</v>
      </c>
      <c r="E65">
        <v>45</v>
      </c>
      <c r="F65">
        <v>18</v>
      </c>
      <c r="G65">
        <v>4</v>
      </c>
      <c r="I65">
        <v>12</v>
      </c>
      <c r="J65">
        <f t="shared" si="2"/>
        <v>0.94318181818181823</v>
      </c>
      <c r="K65" s="5">
        <f t="shared" si="1"/>
        <v>29556</v>
      </c>
    </row>
    <row r="66" spans="1:11" ht="19" x14ac:dyDescent="0.2">
      <c r="A66" t="s">
        <v>14</v>
      </c>
      <c r="B66">
        <v>1982</v>
      </c>
      <c r="C66" s="4" t="s">
        <v>15</v>
      </c>
      <c r="D66">
        <v>18</v>
      </c>
      <c r="E66">
        <v>50</v>
      </c>
      <c r="F66">
        <v>19</v>
      </c>
      <c r="G66">
        <v>4</v>
      </c>
      <c r="H66">
        <v>1</v>
      </c>
      <c r="I66">
        <v>7</v>
      </c>
      <c r="J66">
        <f t="shared" si="2"/>
        <v>0.86956521739130432</v>
      </c>
      <c r="K66" s="5">
        <f t="shared" si="1"/>
        <v>29983</v>
      </c>
    </row>
    <row r="67" spans="1:11" ht="19" x14ac:dyDescent="0.2">
      <c r="A67" t="s">
        <v>14</v>
      </c>
      <c r="B67">
        <v>1982</v>
      </c>
      <c r="C67" s="4" t="s">
        <v>16</v>
      </c>
      <c r="D67">
        <v>20</v>
      </c>
      <c r="E67">
        <v>49</v>
      </c>
      <c r="F67">
        <v>14</v>
      </c>
      <c r="G67">
        <v>2</v>
      </c>
      <c r="H67">
        <v>0</v>
      </c>
      <c r="I67">
        <v>15</v>
      </c>
      <c r="J67">
        <f t="shared" si="2"/>
        <v>1.0235294117647058</v>
      </c>
      <c r="K67" s="5">
        <f t="shared" ref="K67:K88" si="3">(C67&amp;"/"&amp;B67)+0</f>
        <v>30195</v>
      </c>
    </row>
    <row r="68" spans="1:11" ht="19" x14ac:dyDescent="0.2">
      <c r="A68" t="s">
        <v>14</v>
      </c>
      <c r="B68">
        <v>1983</v>
      </c>
      <c r="C68" s="4" t="s">
        <v>8</v>
      </c>
      <c r="D68">
        <v>17</v>
      </c>
      <c r="E68">
        <v>51</v>
      </c>
      <c r="F68">
        <v>16</v>
      </c>
      <c r="G68">
        <v>4</v>
      </c>
      <c r="H68">
        <v>1</v>
      </c>
      <c r="I68">
        <v>17</v>
      </c>
      <c r="J68">
        <f t="shared" si="2"/>
        <v>0.88764044943820219</v>
      </c>
      <c r="K68" s="5">
        <f t="shared" si="3"/>
        <v>30407</v>
      </c>
    </row>
    <row r="69" spans="1:11" ht="19" x14ac:dyDescent="0.2">
      <c r="A69" t="s">
        <v>14</v>
      </c>
      <c r="B69">
        <v>1984</v>
      </c>
      <c r="C69" s="4" t="s">
        <v>16</v>
      </c>
      <c r="D69">
        <v>30</v>
      </c>
      <c r="E69">
        <v>45</v>
      </c>
      <c r="F69">
        <v>17</v>
      </c>
      <c r="G69">
        <v>4</v>
      </c>
      <c r="H69">
        <v>1</v>
      </c>
      <c r="I69">
        <v>4</v>
      </c>
      <c r="J69">
        <f t="shared" si="2"/>
        <v>1.0206185567010309</v>
      </c>
      <c r="K69" s="5">
        <f t="shared" si="3"/>
        <v>30926</v>
      </c>
    </row>
    <row r="70" spans="1:11" ht="19" x14ac:dyDescent="0.2">
      <c r="A70" t="s">
        <v>14</v>
      </c>
      <c r="B70">
        <v>1985</v>
      </c>
      <c r="C70" s="4" t="s">
        <v>12</v>
      </c>
      <c r="D70">
        <v>37</v>
      </c>
      <c r="E70">
        <v>46</v>
      </c>
      <c r="F70">
        <v>12</v>
      </c>
      <c r="G70">
        <v>2</v>
      </c>
      <c r="H70">
        <v>1</v>
      </c>
      <c r="I70">
        <v>3</v>
      </c>
      <c r="J70">
        <f t="shared" si="2"/>
        <v>1.1836734693877551</v>
      </c>
      <c r="K70" s="5">
        <f t="shared" si="3"/>
        <v>31107</v>
      </c>
    </row>
    <row r="71" spans="1:11" ht="19" x14ac:dyDescent="0.2">
      <c r="A71" t="s">
        <v>14</v>
      </c>
      <c r="B71">
        <v>1985</v>
      </c>
      <c r="C71" s="4" t="s">
        <v>16</v>
      </c>
      <c r="D71">
        <v>24</v>
      </c>
      <c r="E71">
        <v>50</v>
      </c>
      <c r="F71">
        <v>15</v>
      </c>
      <c r="G71">
        <v>2</v>
      </c>
      <c r="H71">
        <v>1</v>
      </c>
      <c r="I71">
        <v>9</v>
      </c>
      <c r="J71">
        <f t="shared" si="2"/>
        <v>1.0217391304347827</v>
      </c>
      <c r="K71" s="5">
        <f t="shared" si="3"/>
        <v>31291</v>
      </c>
    </row>
    <row r="72" spans="1:11" ht="19" x14ac:dyDescent="0.2">
      <c r="A72" t="s">
        <v>14</v>
      </c>
      <c r="B72">
        <v>1986</v>
      </c>
      <c r="C72" s="4" t="s">
        <v>12</v>
      </c>
      <c r="D72">
        <v>33</v>
      </c>
      <c r="E72">
        <v>51</v>
      </c>
      <c r="F72">
        <v>10</v>
      </c>
      <c r="G72">
        <v>1</v>
      </c>
      <c r="H72">
        <v>1</v>
      </c>
      <c r="I72">
        <v>5</v>
      </c>
      <c r="J72">
        <f t="shared" si="2"/>
        <v>1.1875</v>
      </c>
      <c r="K72" s="5">
        <f t="shared" si="3"/>
        <v>31472</v>
      </c>
    </row>
    <row r="73" spans="1:11" ht="19" x14ac:dyDescent="0.2">
      <c r="A73" t="s">
        <v>14</v>
      </c>
      <c r="B73">
        <v>1986</v>
      </c>
      <c r="C73" s="4" t="s">
        <v>16</v>
      </c>
      <c r="D73">
        <v>27</v>
      </c>
      <c r="E73">
        <v>51</v>
      </c>
      <c r="F73">
        <v>12</v>
      </c>
      <c r="G73">
        <v>2</v>
      </c>
      <c r="H73">
        <v>1</v>
      </c>
      <c r="I73">
        <v>6</v>
      </c>
      <c r="J73">
        <f t="shared" si="2"/>
        <v>1.086021505376344</v>
      </c>
      <c r="K73" s="5">
        <f t="shared" si="3"/>
        <v>31656</v>
      </c>
    </row>
    <row r="74" spans="1:11" ht="19" x14ac:dyDescent="0.2">
      <c r="A74" t="s">
        <v>14</v>
      </c>
      <c r="B74">
        <v>1987</v>
      </c>
      <c r="C74" s="4" t="s">
        <v>12</v>
      </c>
      <c r="D74">
        <v>44</v>
      </c>
      <c r="E74">
        <v>39</v>
      </c>
      <c r="F74">
        <v>9</v>
      </c>
      <c r="G74">
        <v>1</v>
      </c>
      <c r="H74">
        <v>1</v>
      </c>
      <c r="I74">
        <v>6</v>
      </c>
      <c r="J74">
        <f t="shared" si="2"/>
        <v>1.3191489361702127</v>
      </c>
      <c r="K74" s="5">
        <f t="shared" si="3"/>
        <v>31837</v>
      </c>
    </row>
    <row r="75" spans="1:11" ht="19" x14ac:dyDescent="0.2">
      <c r="A75" t="s">
        <v>14</v>
      </c>
      <c r="B75">
        <v>1987</v>
      </c>
      <c r="C75" s="4" t="s">
        <v>19</v>
      </c>
      <c r="D75">
        <v>43</v>
      </c>
      <c r="E75">
        <v>40</v>
      </c>
      <c r="F75">
        <v>12</v>
      </c>
      <c r="G75">
        <v>1</v>
      </c>
      <c r="H75">
        <v>1</v>
      </c>
      <c r="I75">
        <v>3</v>
      </c>
      <c r="J75">
        <f t="shared" si="2"/>
        <v>1.268041237113402</v>
      </c>
      <c r="K75" s="5">
        <f t="shared" si="3"/>
        <v>32051</v>
      </c>
    </row>
    <row r="76" spans="1:11" ht="19" x14ac:dyDescent="0.2">
      <c r="A76" t="s">
        <v>14</v>
      </c>
      <c r="B76">
        <v>1988</v>
      </c>
      <c r="C76" s="4" t="s">
        <v>22</v>
      </c>
      <c r="D76">
        <v>35</v>
      </c>
      <c r="E76">
        <v>50</v>
      </c>
      <c r="F76">
        <v>10</v>
      </c>
      <c r="G76">
        <v>1</v>
      </c>
      <c r="H76">
        <v>1</v>
      </c>
      <c r="I76">
        <v>5</v>
      </c>
      <c r="J76">
        <f t="shared" si="2"/>
        <v>1.2061855670103092</v>
      </c>
      <c r="K76" s="5">
        <f t="shared" si="3"/>
        <v>32143</v>
      </c>
    </row>
    <row r="77" spans="1:11" ht="19" x14ac:dyDescent="0.2">
      <c r="A77" t="s">
        <v>14</v>
      </c>
      <c r="B77">
        <v>1988</v>
      </c>
      <c r="C77" s="4" t="s">
        <v>8</v>
      </c>
      <c r="D77">
        <v>47</v>
      </c>
      <c r="E77">
        <v>37</v>
      </c>
      <c r="F77">
        <v>10</v>
      </c>
      <c r="G77">
        <v>2</v>
      </c>
      <c r="H77">
        <v>0</v>
      </c>
      <c r="I77">
        <v>4</v>
      </c>
      <c r="J77">
        <f t="shared" si="2"/>
        <v>1.34375</v>
      </c>
      <c r="K77" s="5">
        <f t="shared" si="3"/>
        <v>32234</v>
      </c>
    </row>
    <row r="78" spans="1:11" ht="19" x14ac:dyDescent="0.2">
      <c r="A78" t="s">
        <v>24</v>
      </c>
      <c r="B78">
        <v>1965</v>
      </c>
      <c r="C78" s="4" t="s">
        <v>21</v>
      </c>
      <c r="D78">
        <v>0</v>
      </c>
      <c r="E78">
        <v>1</v>
      </c>
      <c r="F78">
        <v>5</v>
      </c>
      <c r="G78">
        <v>28</v>
      </c>
      <c r="H78">
        <v>57</v>
      </c>
      <c r="I78">
        <v>9</v>
      </c>
      <c r="J78">
        <f>((D78*2)+(E78*1)+(G78*-1)+(H78*-2))/SUM(D78:H78)</f>
        <v>-1.5494505494505495</v>
      </c>
      <c r="K78" s="5">
        <f t="shared" si="3"/>
        <v>23894</v>
      </c>
    </row>
    <row r="79" spans="1:11" ht="19" x14ac:dyDescent="0.2">
      <c r="A79" t="s">
        <v>24</v>
      </c>
      <c r="B79">
        <v>1966</v>
      </c>
      <c r="C79" s="4" t="s">
        <v>12</v>
      </c>
      <c r="D79">
        <v>0</v>
      </c>
      <c r="E79">
        <v>1</v>
      </c>
      <c r="F79">
        <v>4</v>
      </c>
      <c r="G79">
        <v>24</v>
      </c>
      <c r="H79">
        <v>63</v>
      </c>
      <c r="I79">
        <v>8</v>
      </c>
      <c r="J79">
        <f t="shared" ref="J79:J95" si="4">((D79*2)+(E79*1)+(G79*-1)+(H79*-2))/SUM(D79:H79)</f>
        <v>-1.6195652173913044</v>
      </c>
      <c r="K79" s="5">
        <f t="shared" si="3"/>
        <v>24167</v>
      </c>
    </row>
    <row r="80" spans="1:11" ht="19" x14ac:dyDescent="0.2">
      <c r="A80" t="s">
        <v>24</v>
      </c>
      <c r="B80">
        <v>1966</v>
      </c>
      <c r="C80" s="4" t="s">
        <v>9</v>
      </c>
      <c r="D80">
        <v>0</v>
      </c>
      <c r="E80">
        <v>4</v>
      </c>
      <c r="F80">
        <v>5</v>
      </c>
      <c r="G80">
        <v>21</v>
      </c>
      <c r="H80">
        <v>57</v>
      </c>
      <c r="I80">
        <v>13</v>
      </c>
      <c r="J80">
        <f t="shared" si="4"/>
        <v>-1.5057471264367817</v>
      </c>
      <c r="K80" s="5">
        <f t="shared" si="3"/>
        <v>24320</v>
      </c>
    </row>
    <row r="81" spans="1:11" ht="19" x14ac:dyDescent="0.2">
      <c r="A81" t="s">
        <v>24</v>
      </c>
      <c r="B81">
        <v>1968</v>
      </c>
      <c r="C81" s="4" t="s">
        <v>12</v>
      </c>
      <c r="D81">
        <v>1</v>
      </c>
      <c r="E81">
        <v>2</v>
      </c>
      <c r="F81">
        <v>10</v>
      </c>
      <c r="G81">
        <v>19</v>
      </c>
      <c r="H81">
        <v>53</v>
      </c>
      <c r="I81" s="2">
        <v>15</v>
      </c>
      <c r="J81">
        <f t="shared" si="4"/>
        <v>-1.4235294117647059</v>
      </c>
      <c r="K81" s="5">
        <f t="shared" si="3"/>
        <v>24898</v>
      </c>
    </row>
    <row r="82" spans="1:11" ht="19" x14ac:dyDescent="0.2">
      <c r="A82" t="s">
        <v>24</v>
      </c>
      <c r="B82">
        <v>1969</v>
      </c>
      <c r="C82" s="4" t="s">
        <v>21</v>
      </c>
      <c r="D82">
        <v>2</v>
      </c>
      <c r="E82">
        <v>5</v>
      </c>
      <c r="F82">
        <v>12</v>
      </c>
      <c r="G82">
        <v>31</v>
      </c>
      <c r="H82">
        <v>40</v>
      </c>
      <c r="I82">
        <v>10</v>
      </c>
      <c r="J82">
        <f t="shared" si="4"/>
        <v>-1.1333333333333333</v>
      </c>
      <c r="K82" s="5">
        <f t="shared" si="3"/>
        <v>25355</v>
      </c>
    </row>
    <row r="83" spans="1:11" ht="19" x14ac:dyDescent="0.2">
      <c r="A83" t="s">
        <v>24</v>
      </c>
      <c r="B83">
        <v>1970</v>
      </c>
      <c r="C83" s="4" t="s">
        <v>9</v>
      </c>
      <c r="D83">
        <v>3</v>
      </c>
      <c r="E83">
        <v>6</v>
      </c>
      <c r="F83">
        <v>14</v>
      </c>
      <c r="G83">
        <v>24</v>
      </c>
      <c r="H83">
        <v>42</v>
      </c>
      <c r="I83">
        <v>11</v>
      </c>
      <c r="J83">
        <f t="shared" si="4"/>
        <v>-1.0786516853932584</v>
      </c>
      <c r="K83" s="5">
        <f t="shared" si="3"/>
        <v>25781</v>
      </c>
    </row>
    <row r="84" spans="1:11" ht="19" x14ac:dyDescent="0.2">
      <c r="A84" t="s">
        <v>24</v>
      </c>
      <c r="B84">
        <v>1971</v>
      </c>
      <c r="C84" s="4" t="s">
        <v>9</v>
      </c>
      <c r="D84">
        <v>2</v>
      </c>
      <c r="E84">
        <v>5</v>
      </c>
      <c r="F84">
        <v>14</v>
      </c>
      <c r="G84">
        <v>28</v>
      </c>
      <c r="H84">
        <v>42</v>
      </c>
      <c r="I84">
        <v>9</v>
      </c>
      <c r="J84">
        <f t="shared" si="4"/>
        <v>-1.1318681318681318</v>
      </c>
      <c r="K84" s="5">
        <f t="shared" si="3"/>
        <v>26146</v>
      </c>
    </row>
    <row r="85" spans="1:11" ht="19" x14ac:dyDescent="0.2">
      <c r="A85" t="s">
        <v>24</v>
      </c>
      <c r="B85">
        <v>1982</v>
      </c>
      <c r="C85" s="4" t="s">
        <v>15</v>
      </c>
      <c r="D85">
        <v>3</v>
      </c>
      <c r="E85">
        <v>17</v>
      </c>
      <c r="F85">
        <v>39</v>
      </c>
      <c r="G85">
        <v>22</v>
      </c>
      <c r="H85">
        <v>6</v>
      </c>
      <c r="I85">
        <v>14</v>
      </c>
      <c r="J85">
        <f t="shared" si="4"/>
        <v>-0.12643678160919541</v>
      </c>
      <c r="K85" s="5">
        <f t="shared" si="3"/>
        <v>29983</v>
      </c>
    </row>
    <row r="86" spans="1:11" ht="19" x14ac:dyDescent="0.2">
      <c r="A86" t="s">
        <v>24</v>
      </c>
      <c r="B86">
        <v>1982</v>
      </c>
      <c r="C86" s="4" t="s">
        <v>16</v>
      </c>
      <c r="D86">
        <v>2</v>
      </c>
      <c r="E86">
        <v>17</v>
      </c>
      <c r="F86">
        <v>35</v>
      </c>
      <c r="G86">
        <v>21</v>
      </c>
      <c r="H86">
        <v>2</v>
      </c>
      <c r="I86">
        <v>23</v>
      </c>
      <c r="J86">
        <f t="shared" si="4"/>
        <v>-5.1948051948051951E-2</v>
      </c>
      <c r="K86" s="5">
        <f t="shared" si="3"/>
        <v>30195</v>
      </c>
    </row>
    <row r="87" spans="1:11" ht="19" x14ac:dyDescent="0.2">
      <c r="A87" t="s">
        <v>24</v>
      </c>
      <c r="B87">
        <v>1983</v>
      </c>
      <c r="C87" s="4" t="s">
        <v>8</v>
      </c>
      <c r="D87">
        <v>2</v>
      </c>
      <c r="E87">
        <v>18</v>
      </c>
      <c r="F87">
        <v>40</v>
      </c>
      <c r="G87">
        <v>19</v>
      </c>
      <c r="H87">
        <v>3</v>
      </c>
      <c r="I87">
        <v>19</v>
      </c>
      <c r="J87">
        <f t="shared" si="4"/>
        <v>-3.6585365853658534E-2</v>
      </c>
      <c r="K87" s="5">
        <f t="shared" si="3"/>
        <v>30407</v>
      </c>
    </row>
    <row r="88" spans="1:11" ht="19" x14ac:dyDescent="0.2">
      <c r="A88" t="s">
        <v>24</v>
      </c>
      <c r="B88">
        <v>1984</v>
      </c>
      <c r="C88" s="4" t="s">
        <v>16</v>
      </c>
      <c r="D88">
        <v>9</v>
      </c>
      <c r="E88">
        <v>28</v>
      </c>
      <c r="F88">
        <v>31</v>
      </c>
      <c r="G88">
        <v>18</v>
      </c>
      <c r="H88">
        <v>4</v>
      </c>
      <c r="I88">
        <v>8</v>
      </c>
      <c r="J88">
        <f t="shared" si="4"/>
        <v>0.22222222222222221</v>
      </c>
      <c r="K88" s="5">
        <f t="shared" si="3"/>
        <v>30926</v>
      </c>
    </row>
    <row r="89" spans="1:11" ht="19" x14ac:dyDescent="0.2">
      <c r="A89" t="s">
        <v>24</v>
      </c>
      <c r="B89">
        <v>1985</v>
      </c>
      <c r="C89" s="4" t="s">
        <v>12</v>
      </c>
      <c r="D89">
        <v>4</v>
      </c>
      <c r="E89">
        <v>23</v>
      </c>
      <c r="F89">
        <v>43</v>
      </c>
      <c r="G89">
        <v>19</v>
      </c>
      <c r="H89">
        <v>3</v>
      </c>
      <c r="I89">
        <v>8</v>
      </c>
      <c r="J89">
        <f t="shared" si="4"/>
        <v>6.5217391304347824E-2</v>
      </c>
      <c r="K89" s="5">
        <f>(C89&amp;"/"&amp;B89)+0</f>
        <v>31107</v>
      </c>
    </row>
    <row r="90" spans="1:11" ht="19" x14ac:dyDescent="0.2">
      <c r="A90" t="s">
        <v>24</v>
      </c>
      <c r="B90">
        <v>1985</v>
      </c>
      <c r="C90" s="4" t="s">
        <v>16</v>
      </c>
      <c r="D90">
        <v>3</v>
      </c>
      <c r="E90">
        <v>21</v>
      </c>
      <c r="F90">
        <v>40</v>
      </c>
      <c r="G90">
        <v>18</v>
      </c>
      <c r="H90">
        <v>5</v>
      </c>
      <c r="I90">
        <v>13</v>
      </c>
      <c r="J90">
        <f t="shared" si="4"/>
        <v>-1.1494252873563218E-2</v>
      </c>
      <c r="K90" s="5">
        <f t="shared" ref="K90:K95" si="5">(C90&amp;"/"&amp;B90)+0</f>
        <v>31291</v>
      </c>
    </row>
    <row r="91" spans="1:11" ht="19" x14ac:dyDescent="0.2">
      <c r="A91" t="s">
        <v>24</v>
      </c>
      <c r="B91">
        <v>1986</v>
      </c>
      <c r="C91" s="4" t="s">
        <v>12</v>
      </c>
      <c r="D91">
        <v>4</v>
      </c>
      <c r="E91">
        <v>20</v>
      </c>
      <c r="F91">
        <v>42</v>
      </c>
      <c r="G91">
        <v>16</v>
      </c>
      <c r="H91">
        <v>7</v>
      </c>
      <c r="I91">
        <v>12</v>
      </c>
      <c r="J91">
        <f t="shared" si="4"/>
        <v>-2.247191011235955E-2</v>
      </c>
      <c r="K91" s="5">
        <f t="shared" si="5"/>
        <v>31472</v>
      </c>
    </row>
    <row r="92" spans="1:11" ht="19" x14ac:dyDescent="0.2">
      <c r="A92" t="s">
        <v>24</v>
      </c>
      <c r="B92">
        <v>1986</v>
      </c>
      <c r="C92" s="4" t="s">
        <v>16</v>
      </c>
      <c r="D92">
        <v>4</v>
      </c>
      <c r="E92">
        <v>18</v>
      </c>
      <c r="F92">
        <v>42</v>
      </c>
      <c r="G92">
        <v>16</v>
      </c>
      <c r="H92">
        <v>5</v>
      </c>
      <c r="I92">
        <v>15</v>
      </c>
      <c r="J92">
        <f t="shared" si="4"/>
        <v>0</v>
      </c>
      <c r="K92" s="5">
        <f t="shared" si="5"/>
        <v>31656</v>
      </c>
    </row>
    <row r="93" spans="1:11" ht="19" x14ac:dyDescent="0.2">
      <c r="A93" t="s">
        <v>24</v>
      </c>
      <c r="B93">
        <v>1987</v>
      </c>
      <c r="C93" s="4" t="s">
        <v>12</v>
      </c>
      <c r="D93">
        <v>3</v>
      </c>
      <c r="E93">
        <v>21</v>
      </c>
      <c r="F93">
        <v>41</v>
      </c>
      <c r="G93">
        <v>16</v>
      </c>
      <c r="H93">
        <v>7</v>
      </c>
      <c r="I93">
        <v>13</v>
      </c>
      <c r="J93">
        <f t="shared" si="4"/>
        <v>-3.4090909090909088E-2</v>
      </c>
      <c r="K93" s="5">
        <f t="shared" si="5"/>
        <v>31837</v>
      </c>
    </row>
    <row r="94" spans="1:11" ht="19" x14ac:dyDescent="0.2">
      <c r="A94" t="s">
        <v>24</v>
      </c>
      <c r="B94">
        <v>1987</v>
      </c>
      <c r="C94" s="4" t="s">
        <v>19</v>
      </c>
      <c r="D94">
        <v>4</v>
      </c>
      <c r="E94">
        <v>30</v>
      </c>
      <c r="F94">
        <v>32</v>
      </c>
      <c r="G94">
        <v>21</v>
      </c>
      <c r="H94">
        <v>5</v>
      </c>
      <c r="I94">
        <v>8</v>
      </c>
      <c r="J94">
        <f t="shared" si="4"/>
        <v>7.6086956521739135E-2</v>
      </c>
      <c r="K94" s="5">
        <f t="shared" si="5"/>
        <v>32051</v>
      </c>
    </row>
    <row r="95" spans="1:11" ht="19" x14ac:dyDescent="0.2">
      <c r="A95" t="s">
        <v>24</v>
      </c>
      <c r="B95">
        <v>1988</v>
      </c>
      <c r="C95" s="4" t="s">
        <v>8</v>
      </c>
      <c r="D95">
        <v>5</v>
      </c>
      <c r="E95">
        <v>18</v>
      </c>
      <c r="F95">
        <v>39</v>
      </c>
      <c r="G95">
        <v>24</v>
      </c>
      <c r="H95">
        <v>5</v>
      </c>
      <c r="I95">
        <v>10</v>
      </c>
      <c r="J95">
        <f t="shared" si="4"/>
        <v>-6.5934065934065936E-2</v>
      </c>
      <c r="K95" s="5">
        <f t="shared" si="5"/>
        <v>32234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9812C-01AE-4C4A-BE69-53980E8195BD}">
  <dimension ref="A1:J39"/>
  <sheetViews>
    <sheetView workbookViewId="0">
      <selection sqref="A1:J39"/>
    </sheetView>
  </sheetViews>
  <sheetFormatPr baseColWidth="10" defaultRowHeight="16" x14ac:dyDescent="0.2"/>
  <sheetData>
    <row r="1" spans="1:10" x14ac:dyDescent="0.2">
      <c r="A1" s="1" t="s">
        <v>23</v>
      </c>
      <c r="B1" s="1" t="s">
        <v>6</v>
      </c>
      <c r="C1" s="1" t="s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20</v>
      </c>
    </row>
    <row r="2" spans="1:10" x14ac:dyDescent="0.2">
      <c r="A2" t="s">
        <v>13</v>
      </c>
      <c r="B2">
        <v>1959</v>
      </c>
      <c r="C2" t="s">
        <v>21</v>
      </c>
      <c r="D2">
        <v>7</v>
      </c>
      <c r="E2">
        <v>20</v>
      </c>
      <c r="F2">
        <v>8</v>
      </c>
      <c r="G2">
        <v>4</v>
      </c>
      <c r="H2">
        <v>1</v>
      </c>
      <c r="I2">
        <v>59</v>
      </c>
      <c r="J2">
        <f>((D2*2)+(E2*1)+(G2*-1)+(H2*-2))/SUM(D2:H2)</f>
        <v>0.7</v>
      </c>
    </row>
    <row r="3" spans="1:10" x14ac:dyDescent="0.2">
      <c r="A3" t="s">
        <v>13</v>
      </c>
      <c r="B3">
        <v>1963</v>
      </c>
      <c r="C3" t="s">
        <v>10</v>
      </c>
      <c r="D3">
        <v>17</v>
      </c>
      <c r="E3">
        <v>48</v>
      </c>
      <c r="F3">
        <v>12</v>
      </c>
      <c r="G3">
        <v>1</v>
      </c>
      <c r="H3">
        <v>0</v>
      </c>
      <c r="I3">
        <v>22</v>
      </c>
      <c r="J3">
        <f t="shared" ref="J3:J39" si="0">((D3*2)+(E3*1)+(G3*-1)+(H3*-2))/SUM(D3:H3)</f>
        <v>1.0384615384615385</v>
      </c>
    </row>
    <row r="4" spans="1:10" x14ac:dyDescent="0.2">
      <c r="A4" t="s">
        <v>13</v>
      </c>
      <c r="B4">
        <v>1965</v>
      </c>
      <c r="C4" t="s">
        <v>21</v>
      </c>
      <c r="D4">
        <v>16</v>
      </c>
      <c r="E4">
        <v>61</v>
      </c>
      <c r="F4">
        <v>8</v>
      </c>
      <c r="G4">
        <v>2</v>
      </c>
      <c r="H4">
        <v>0</v>
      </c>
      <c r="I4">
        <v>16</v>
      </c>
      <c r="J4">
        <f t="shared" si="0"/>
        <v>1.0459770114942528</v>
      </c>
    </row>
    <row r="5" spans="1:10" x14ac:dyDescent="0.2">
      <c r="A5" t="s">
        <v>13</v>
      </c>
      <c r="B5">
        <v>1966</v>
      </c>
      <c r="C5" t="s">
        <v>12</v>
      </c>
      <c r="D5">
        <v>19</v>
      </c>
      <c r="E5">
        <v>52</v>
      </c>
      <c r="F5">
        <v>18</v>
      </c>
      <c r="G5">
        <v>4</v>
      </c>
      <c r="H5">
        <v>0</v>
      </c>
      <c r="I5">
        <v>7</v>
      </c>
      <c r="J5">
        <f t="shared" si="0"/>
        <v>0.92473118279569888</v>
      </c>
    </row>
    <row r="6" spans="1:10" x14ac:dyDescent="0.2">
      <c r="A6" t="s">
        <v>13</v>
      </c>
      <c r="B6">
        <v>1966</v>
      </c>
      <c r="C6" t="s">
        <v>9</v>
      </c>
      <c r="D6">
        <v>21</v>
      </c>
      <c r="E6">
        <v>56</v>
      </c>
      <c r="F6">
        <v>14</v>
      </c>
      <c r="G6">
        <v>3</v>
      </c>
      <c r="H6">
        <v>0</v>
      </c>
      <c r="I6">
        <v>6</v>
      </c>
      <c r="J6">
        <f t="shared" si="0"/>
        <v>1.0106382978723405</v>
      </c>
    </row>
    <row r="7" spans="1:10" x14ac:dyDescent="0.2">
      <c r="A7" t="s">
        <v>13</v>
      </c>
      <c r="B7">
        <v>1967</v>
      </c>
      <c r="C7" t="s">
        <v>10</v>
      </c>
      <c r="D7">
        <v>11</v>
      </c>
      <c r="E7">
        <v>44</v>
      </c>
      <c r="F7">
        <v>23</v>
      </c>
      <c r="G7">
        <v>9</v>
      </c>
      <c r="H7">
        <v>1</v>
      </c>
      <c r="I7">
        <v>12</v>
      </c>
      <c r="J7">
        <f t="shared" si="0"/>
        <v>0.625</v>
      </c>
    </row>
    <row r="8" spans="1:10" x14ac:dyDescent="0.2">
      <c r="A8" t="s">
        <v>13</v>
      </c>
      <c r="B8">
        <v>1968</v>
      </c>
      <c r="C8" t="s">
        <v>12</v>
      </c>
      <c r="D8">
        <v>14</v>
      </c>
      <c r="E8">
        <v>42</v>
      </c>
      <c r="F8">
        <v>23</v>
      </c>
      <c r="G8">
        <v>7</v>
      </c>
      <c r="H8">
        <v>1</v>
      </c>
      <c r="I8">
        <v>13</v>
      </c>
      <c r="J8">
        <f t="shared" si="0"/>
        <v>0.70114942528735635</v>
      </c>
    </row>
    <row r="9" spans="1:10" x14ac:dyDescent="0.2">
      <c r="A9" t="s">
        <v>13</v>
      </c>
      <c r="B9">
        <v>1969</v>
      </c>
      <c r="C9" t="s">
        <v>21</v>
      </c>
      <c r="D9">
        <v>30</v>
      </c>
      <c r="E9">
        <v>43</v>
      </c>
      <c r="F9">
        <v>16</v>
      </c>
      <c r="G9">
        <v>5</v>
      </c>
      <c r="H9">
        <v>2</v>
      </c>
      <c r="I9">
        <v>4</v>
      </c>
      <c r="J9">
        <f t="shared" si="0"/>
        <v>0.97916666666666663</v>
      </c>
    </row>
    <row r="10" spans="1:10" x14ac:dyDescent="0.2">
      <c r="A10" t="s">
        <v>13</v>
      </c>
      <c r="B10">
        <v>1970</v>
      </c>
      <c r="C10" t="s">
        <v>9</v>
      </c>
      <c r="D10">
        <v>27</v>
      </c>
      <c r="E10">
        <v>39</v>
      </c>
      <c r="F10">
        <v>18</v>
      </c>
      <c r="G10">
        <v>7</v>
      </c>
      <c r="H10">
        <v>2</v>
      </c>
      <c r="I10">
        <v>7</v>
      </c>
      <c r="J10">
        <f t="shared" si="0"/>
        <v>0.88172043010752688</v>
      </c>
    </row>
    <row r="11" spans="1:10" x14ac:dyDescent="0.2">
      <c r="A11" t="s">
        <v>13</v>
      </c>
      <c r="B11">
        <v>1971</v>
      </c>
      <c r="C11" t="s">
        <v>9</v>
      </c>
      <c r="D11">
        <v>15</v>
      </c>
      <c r="E11">
        <v>34</v>
      </c>
      <c r="F11">
        <v>18</v>
      </c>
      <c r="G11">
        <v>24</v>
      </c>
      <c r="H11">
        <v>4</v>
      </c>
      <c r="I11">
        <v>5</v>
      </c>
      <c r="J11">
        <f t="shared" si="0"/>
        <v>0.33684210526315789</v>
      </c>
    </row>
    <row r="12" spans="1:10" x14ac:dyDescent="0.2">
      <c r="A12" t="s">
        <v>13</v>
      </c>
      <c r="B12">
        <v>1972</v>
      </c>
      <c r="C12" t="s">
        <v>8</v>
      </c>
      <c r="D12">
        <v>2</v>
      </c>
      <c r="E12">
        <v>11</v>
      </c>
      <c r="F12">
        <v>16</v>
      </c>
      <c r="G12">
        <v>32</v>
      </c>
      <c r="H12">
        <v>20</v>
      </c>
      <c r="I12">
        <v>19</v>
      </c>
      <c r="J12">
        <f t="shared" si="0"/>
        <v>-0.70370370370370372</v>
      </c>
    </row>
    <row r="13" spans="1:10" x14ac:dyDescent="0.2">
      <c r="A13" t="s">
        <v>13</v>
      </c>
      <c r="B13">
        <v>1972</v>
      </c>
      <c r="C13" t="s">
        <v>9</v>
      </c>
      <c r="D13">
        <v>5</v>
      </c>
      <c r="E13">
        <v>19</v>
      </c>
      <c r="F13">
        <v>27</v>
      </c>
      <c r="G13">
        <v>29</v>
      </c>
      <c r="H13">
        <v>15</v>
      </c>
      <c r="I13">
        <v>5</v>
      </c>
      <c r="J13">
        <f t="shared" si="0"/>
        <v>-0.31578947368421051</v>
      </c>
    </row>
    <row r="14" spans="1:10" x14ac:dyDescent="0.2">
      <c r="A14" t="s">
        <v>13</v>
      </c>
      <c r="B14">
        <v>1973</v>
      </c>
      <c r="C14" t="s">
        <v>15</v>
      </c>
      <c r="D14">
        <v>10</v>
      </c>
      <c r="E14">
        <v>40</v>
      </c>
      <c r="F14">
        <v>31</v>
      </c>
      <c r="G14">
        <v>9</v>
      </c>
      <c r="H14">
        <v>1</v>
      </c>
      <c r="I14">
        <v>9</v>
      </c>
      <c r="J14">
        <f t="shared" si="0"/>
        <v>0.53846153846153844</v>
      </c>
    </row>
    <row r="15" spans="1:10" x14ac:dyDescent="0.2">
      <c r="A15" t="s">
        <v>13</v>
      </c>
      <c r="B15">
        <v>1973</v>
      </c>
      <c r="C15" t="s">
        <v>16</v>
      </c>
      <c r="D15">
        <v>7</v>
      </c>
      <c r="E15">
        <v>35</v>
      </c>
      <c r="F15">
        <v>34</v>
      </c>
      <c r="G15">
        <v>11</v>
      </c>
      <c r="H15">
        <v>5</v>
      </c>
      <c r="I15">
        <v>8</v>
      </c>
      <c r="J15">
        <f t="shared" si="0"/>
        <v>0.30434782608695654</v>
      </c>
    </row>
    <row r="16" spans="1:10" x14ac:dyDescent="0.2">
      <c r="A16" t="s">
        <v>13</v>
      </c>
      <c r="B16">
        <v>1974</v>
      </c>
      <c r="C16" t="s">
        <v>12</v>
      </c>
      <c r="D16">
        <v>13</v>
      </c>
      <c r="E16">
        <v>34</v>
      </c>
      <c r="F16">
        <v>21</v>
      </c>
      <c r="G16">
        <v>13</v>
      </c>
      <c r="H16">
        <v>11</v>
      </c>
      <c r="I16">
        <v>8</v>
      </c>
      <c r="J16">
        <f t="shared" si="0"/>
        <v>0.27173913043478259</v>
      </c>
    </row>
    <row r="17" spans="1:10" x14ac:dyDescent="0.2">
      <c r="A17" t="s">
        <v>13</v>
      </c>
      <c r="B17">
        <v>1974</v>
      </c>
      <c r="C17" t="s">
        <v>16</v>
      </c>
      <c r="D17">
        <v>7</v>
      </c>
      <c r="E17">
        <v>48</v>
      </c>
      <c r="F17">
        <v>27</v>
      </c>
      <c r="G17">
        <v>9</v>
      </c>
      <c r="H17">
        <v>2</v>
      </c>
      <c r="I17">
        <v>7</v>
      </c>
      <c r="J17">
        <f t="shared" si="0"/>
        <v>0.5268817204301075</v>
      </c>
    </row>
    <row r="18" spans="1:10" x14ac:dyDescent="0.2">
      <c r="A18" t="s">
        <v>13</v>
      </c>
      <c r="B18">
        <v>1975</v>
      </c>
      <c r="C18" t="s">
        <v>8</v>
      </c>
      <c r="D18">
        <v>7</v>
      </c>
      <c r="E18">
        <v>30</v>
      </c>
      <c r="F18">
        <v>26</v>
      </c>
      <c r="G18">
        <v>19</v>
      </c>
      <c r="H18">
        <v>12</v>
      </c>
      <c r="I18">
        <v>6</v>
      </c>
      <c r="J18">
        <f t="shared" si="0"/>
        <v>1.0638297872340425E-2</v>
      </c>
    </row>
    <row r="19" spans="1:10" x14ac:dyDescent="0.2">
      <c r="A19" t="s">
        <v>13</v>
      </c>
      <c r="B19">
        <v>1975</v>
      </c>
      <c r="C19" t="s">
        <v>16</v>
      </c>
      <c r="D19">
        <v>13</v>
      </c>
      <c r="E19">
        <v>45</v>
      </c>
      <c r="F19">
        <v>18</v>
      </c>
      <c r="G19">
        <v>8</v>
      </c>
      <c r="H19">
        <v>3</v>
      </c>
      <c r="I19">
        <v>13</v>
      </c>
      <c r="J19">
        <f t="shared" si="0"/>
        <v>0.65517241379310343</v>
      </c>
    </row>
    <row r="20" spans="1:10" x14ac:dyDescent="0.2">
      <c r="A20" t="s">
        <v>13</v>
      </c>
      <c r="B20">
        <v>1976</v>
      </c>
      <c r="C20" t="s">
        <v>8</v>
      </c>
      <c r="D20">
        <v>11</v>
      </c>
      <c r="E20">
        <v>30</v>
      </c>
      <c r="F20">
        <v>18</v>
      </c>
      <c r="G20">
        <v>12</v>
      </c>
      <c r="H20">
        <v>2</v>
      </c>
      <c r="I20">
        <v>18</v>
      </c>
      <c r="J20">
        <f t="shared" si="0"/>
        <v>0.49315068493150682</v>
      </c>
    </row>
    <row r="21" spans="1:10" x14ac:dyDescent="0.2">
      <c r="A21" t="s">
        <v>13</v>
      </c>
      <c r="B21">
        <v>1976</v>
      </c>
      <c r="C21" t="s">
        <v>16</v>
      </c>
      <c r="D21">
        <v>24</v>
      </c>
      <c r="E21">
        <v>43</v>
      </c>
      <c r="F21">
        <v>15</v>
      </c>
      <c r="G21">
        <v>10</v>
      </c>
      <c r="H21">
        <v>1</v>
      </c>
      <c r="I21">
        <v>7</v>
      </c>
      <c r="J21">
        <f t="shared" si="0"/>
        <v>0.84946236559139787</v>
      </c>
    </row>
    <row r="22" spans="1:10" x14ac:dyDescent="0.2">
      <c r="A22" t="s">
        <v>13</v>
      </c>
      <c r="B22">
        <v>1977</v>
      </c>
      <c r="C22" t="s">
        <v>17</v>
      </c>
      <c r="D22">
        <v>9</v>
      </c>
      <c r="E22">
        <v>49</v>
      </c>
      <c r="F22">
        <v>18</v>
      </c>
      <c r="G22">
        <v>9</v>
      </c>
      <c r="H22">
        <v>1</v>
      </c>
      <c r="I22">
        <v>14</v>
      </c>
      <c r="J22">
        <f t="shared" si="0"/>
        <v>0.65116279069767447</v>
      </c>
    </row>
    <row r="23" spans="1:10" x14ac:dyDescent="0.2">
      <c r="A23" t="s">
        <v>13</v>
      </c>
      <c r="B23">
        <v>1977</v>
      </c>
      <c r="C23" t="s">
        <v>9</v>
      </c>
      <c r="D23">
        <v>20</v>
      </c>
      <c r="E23">
        <v>53</v>
      </c>
      <c r="F23">
        <v>16</v>
      </c>
      <c r="G23">
        <v>5</v>
      </c>
      <c r="H23">
        <v>1</v>
      </c>
      <c r="I23">
        <v>5</v>
      </c>
      <c r="J23">
        <f t="shared" si="0"/>
        <v>0.90526315789473688</v>
      </c>
    </row>
    <row r="24" spans="1:10" x14ac:dyDescent="0.2">
      <c r="A24" t="s">
        <v>13</v>
      </c>
      <c r="B24">
        <v>1978</v>
      </c>
      <c r="C24" t="s">
        <v>15</v>
      </c>
      <c r="D24">
        <v>19</v>
      </c>
      <c r="E24">
        <v>56</v>
      </c>
      <c r="F24">
        <v>16</v>
      </c>
      <c r="G24">
        <v>5</v>
      </c>
      <c r="H24">
        <v>1</v>
      </c>
      <c r="I24">
        <v>3</v>
      </c>
      <c r="J24">
        <f t="shared" si="0"/>
        <v>0.89690721649484539</v>
      </c>
    </row>
    <row r="25" spans="1:10" x14ac:dyDescent="0.2">
      <c r="A25" t="s">
        <v>13</v>
      </c>
      <c r="B25">
        <v>1979</v>
      </c>
      <c r="C25" t="s">
        <v>17</v>
      </c>
      <c r="D25">
        <v>14</v>
      </c>
      <c r="E25">
        <v>57</v>
      </c>
      <c r="F25">
        <v>16</v>
      </c>
      <c r="G25">
        <v>6</v>
      </c>
      <c r="H25">
        <v>1</v>
      </c>
      <c r="I25">
        <v>6</v>
      </c>
      <c r="J25">
        <f t="shared" si="0"/>
        <v>0.81914893617021278</v>
      </c>
    </row>
    <row r="26" spans="1:10" x14ac:dyDescent="0.2">
      <c r="A26" t="s">
        <v>13</v>
      </c>
      <c r="B26">
        <v>1980</v>
      </c>
      <c r="C26" t="s">
        <v>12</v>
      </c>
      <c r="D26">
        <v>18</v>
      </c>
      <c r="E26">
        <v>48</v>
      </c>
      <c r="F26">
        <v>21</v>
      </c>
      <c r="G26">
        <v>5</v>
      </c>
      <c r="H26">
        <v>1</v>
      </c>
      <c r="I26">
        <v>7</v>
      </c>
      <c r="J26">
        <f t="shared" si="0"/>
        <v>0.82795698924731187</v>
      </c>
    </row>
    <row r="27" spans="1:10" x14ac:dyDescent="0.2">
      <c r="A27" t="s">
        <v>13</v>
      </c>
      <c r="B27">
        <v>1980</v>
      </c>
      <c r="C27" t="s">
        <v>18</v>
      </c>
      <c r="D27">
        <v>18</v>
      </c>
      <c r="E27">
        <v>47</v>
      </c>
      <c r="F27">
        <v>21</v>
      </c>
      <c r="G27">
        <v>5</v>
      </c>
      <c r="H27">
        <v>1</v>
      </c>
      <c r="I27">
        <v>8</v>
      </c>
      <c r="J27">
        <f t="shared" si="0"/>
        <v>0.82608695652173914</v>
      </c>
    </row>
    <row r="28" spans="1:10" x14ac:dyDescent="0.2">
      <c r="A28" t="s">
        <v>13</v>
      </c>
      <c r="B28">
        <v>1982</v>
      </c>
      <c r="C28" t="s">
        <v>15</v>
      </c>
      <c r="D28">
        <v>10</v>
      </c>
      <c r="E28">
        <v>47</v>
      </c>
      <c r="F28">
        <v>26</v>
      </c>
      <c r="G28">
        <v>10</v>
      </c>
      <c r="H28">
        <v>2</v>
      </c>
      <c r="I28">
        <v>6</v>
      </c>
      <c r="J28">
        <f t="shared" si="0"/>
        <v>0.55789473684210522</v>
      </c>
    </row>
    <row r="29" spans="1:10" x14ac:dyDescent="0.2">
      <c r="A29" t="s">
        <v>13</v>
      </c>
      <c r="B29">
        <v>1982</v>
      </c>
      <c r="C29" t="s">
        <v>16</v>
      </c>
      <c r="D29">
        <v>11</v>
      </c>
      <c r="E29">
        <v>41</v>
      </c>
      <c r="F29">
        <v>26</v>
      </c>
      <c r="G29">
        <v>7</v>
      </c>
      <c r="H29">
        <v>2</v>
      </c>
      <c r="I29">
        <v>13</v>
      </c>
      <c r="J29">
        <f t="shared" si="0"/>
        <v>0.5977011494252874</v>
      </c>
    </row>
    <row r="30" spans="1:10" x14ac:dyDescent="0.2">
      <c r="A30" t="s">
        <v>13</v>
      </c>
      <c r="B30">
        <v>1983</v>
      </c>
      <c r="C30" t="s">
        <v>8</v>
      </c>
      <c r="D30">
        <v>10</v>
      </c>
      <c r="E30">
        <v>51</v>
      </c>
      <c r="F30">
        <v>23</v>
      </c>
      <c r="G30">
        <v>5</v>
      </c>
      <c r="H30">
        <v>1</v>
      </c>
      <c r="I30">
        <v>10</v>
      </c>
      <c r="J30">
        <f t="shared" si="0"/>
        <v>0.71111111111111114</v>
      </c>
    </row>
    <row r="31" spans="1:10" x14ac:dyDescent="0.2">
      <c r="A31" t="s">
        <v>13</v>
      </c>
      <c r="B31">
        <v>1984</v>
      </c>
      <c r="C31" t="s">
        <v>16</v>
      </c>
      <c r="D31">
        <v>23</v>
      </c>
      <c r="E31">
        <v>48</v>
      </c>
      <c r="F31">
        <v>21</v>
      </c>
      <c r="G31">
        <v>5</v>
      </c>
      <c r="H31">
        <v>1</v>
      </c>
      <c r="I31">
        <v>3</v>
      </c>
      <c r="J31">
        <f t="shared" si="0"/>
        <v>0.88775510204081631</v>
      </c>
    </row>
    <row r="32" spans="1:10" x14ac:dyDescent="0.2">
      <c r="A32" t="s">
        <v>13</v>
      </c>
      <c r="B32">
        <v>1985</v>
      </c>
      <c r="C32" t="s">
        <v>12</v>
      </c>
      <c r="D32">
        <v>21</v>
      </c>
      <c r="E32">
        <v>52</v>
      </c>
      <c r="F32">
        <v>20</v>
      </c>
      <c r="G32">
        <v>5</v>
      </c>
      <c r="H32">
        <v>1</v>
      </c>
      <c r="I32">
        <v>2</v>
      </c>
      <c r="J32">
        <f t="shared" si="0"/>
        <v>0.87878787878787878</v>
      </c>
    </row>
    <row r="33" spans="1:10" x14ac:dyDescent="0.2">
      <c r="A33" t="s">
        <v>13</v>
      </c>
      <c r="B33">
        <v>1985</v>
      </c>
      <c r="C33" t="s">
        <v>16</v>
      </c>
      <c r="D33">
        <v>18</v>
      </c>
      <c r="E33">
        <v>47</v>
      </c>
      <c r="F33">
        <v>21</v>
      </c>
      <c r="G33">
        <v>6</v>
      </c>
      <c r="H33">
        <v>2</v>
      </c>
      <c r="I33">
        <v>8</v>
      </c>
      <c r="J33">
        <f t="shared" si="0"/>
        <v>0.77659574468085102</v>
      </c>
    </row>
    <row r="34" spans="1:10" x14ac:dyDescent="0.2">
      <c r="A34" t="s">
        <v>13</v>
      </c>
      <c r="B34">
        <v>1986</v>
      </c>
      <c r="C34" t="s">
        <v>12</v>
      </c>
      <c r="D34">
        <v>18</v>
      </c>
      <c r="E34">
        <v>48</v>
      </c>
      <c r="F34">
        <v>21</v>
      </c>
      <c r="G34">
        <v>6</v>
      </c>
      <c r="H34">
        <v>3</v>
      </c>
      <c r="I34">
        <v>4</v>
      </c>
      <c r="J34">
        <f t="shared" si="0"/>
        <v>0.75</v>
      </c>
    </row>
    <row r="35" spans="1:10" x14ac:dyDescent="0.2">
      <c r="A35" t="s">
        <v>13</v>
      </c>
      <c r="B35">
        <v>1986</v>
      </c>
      <c r="C35" t="s">
        <v>16</v>
      </c>
      <c r="D35">
        <v>23</v>
      </c>
      <c r="E35">
        <v>46</v>
      </c>
      <c r="F35">
        <v>19</v>
      </c>
      <c r="G35">
        <v>6</v>
      </c>
      <c r="H35">
        <v>3</v>
      </c>
      <c r="I35">
        <v>5</v>
      </c>
      <c r="J35">
        <f t="shared" si="0"/>
        <v>0.82474226804123707</v>
      </c>
    </row>
    <row r="36" spans="1:10" x14ac:dyDescent="0.2">
      <c r="A36" t="s">
        <v>13</v>
      </c>
      <c r="B36">
        <v>1987</v>
      </c>
      <c r="C36" t="s">
        <v>12</v>
      </c>
      <c r="D36">
        <v>25</v>
      </c>
      <c r="E36">
        <v>44</v>
      </c>
      <c r="F36">
        <v>19</v>
      </c>
      <c r="G36">
        <v>4</v>
      </c>
      <c r="H36">
        <v>2</v>
      </c>
      <c r="I36">
        <v>6</v>
      </c>
      <c r="J36">
        <f t="shared" si="0"/>
        <v>0.91489361702127658</v>
      </c>
    </row>
    <row r="37" spans="1:10" x14ac:dyDescent="0.2">
      <c r="A37" t="s">
        <v>13</v>
      </c>
      <c r="B37">
        <v>1987</v>
      </c>
      <c r="C37" t="s">
        <v>19</v>
      </c>
      <c r="D37">
        <v>33</v>
      </c>
      <c r="E37">
        <v>44</v>
      </c>
      <c r="F37">
        <v>15</v>
      </c>
      <c r="G37">
        <v>3</v>
      </c>
      <c r="H37">
        <v>1</v>
      </c>
      <c r="I37">
        <v>3</v>
      </c>
      <c r="J37">
        <f t="shared" si="0"/>
        <v>1.09375</v>
      </c>
    </row>
    <row r="38" spans="1:10" x14ac:dyDescent="0.2">
      <c r="A38" t="s">
        <v>13</v>
      </c>
      <c r="B38">
        <v>1988</v>
      </c>
      <c r="C38" t="s">
        <v>22</v>
      </c>
      <c r="D38">
        <v>20</v>
      </c>
      <c r="E38">
        <v>47</v>
      </c>
      <c r="F38">
        <v>21</v>
      </c>
      <c r="G38">
        <v>7</v>
      </c>
      <c r="H38">
        <v>2</v>
      </c>
      <c r="I38">
        <v>4</v>
      </c>
      <c r="J38">
        <f t="shared" si="0"/>
        <v>0.78350515463917525</v>
      </c>
    </row>
    <row r="39" spans="1:10" x14ac:dyDescent="0.2">
      <c r="A39" t="s">
        <v>13</v>
      </c>
      <c r="B39">
        <v>1988</v>
      </c>
      <c r="C39" t="s">
        <v>8</v>
      </c>
      <c r="D39">
        <v>26</v>
      </c>
      <c r="E39">
        <v>45</v>
      </c>
      <c r="F39">
        <v>19</v>
      </c>
      <c r="G39">
        <v>5</v>
      </c>
      <c r="H39">
        <v>1</v>
      </c>
      <c r="I39">
        <v>4</v>
      </c>
      <c r="J39">
        <f t="shared" si="0"/>
        <v>0.9375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2D76-05D7-1C48-906A-3B11F319F58F}">
  <dimension ref="A1:I39"/>
  <sheetViews>
    <sheetView workbookViewId="0">
      <pane ySplit="1" topLeftCell="A2" activePane="bottomLeft" state="frozen"/>
      <selection pane="bottomLeft" activeCell="A2" sqref="A2:I39"/>
    </sheetView>
  </sheetViews>
  <sheetFormatPr baseColWidth="10" defaultRowHeight="16" x14ac:dyDescent="0.2"/>
  <sheetData>
    <row r="1" spans="1:9" s="1" customFormat="1" x14ac:dyDescent="0.2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11</v>
      </c>
      <c r="I1" s="1" t="s">
        <v>20</v>
      </c>
    </row>
    <row r="2" spans="1:9" x14ac:dyDescent="0.2">
      <c r="A2">
        <v>1959</v>
      </c>
      <c r="B2" t="s">
        <v>21</v>
      </c>
      <c r="C2">
        <v>9</v>
      </c>
      <c r="D2">
        <v>21</v>
      </c>
      <c r="E2">
        <v>8</v>
      </c>
      <c r="F2">
        <v>1</v>
      </c>
      <c r="G2">
        <v>1</v>
      </c>
      <c r="H2">
        <v>59</v>
      </c>
      <c r="I2">
        <f>((C2*2)+(D2*1)+(F2*-1)+(G2*-2))/SUM(C2:G2)</f>
        <v>0.9</v>
      </c>
    </row>
    <row r="3" spans="1:9" x14ac:dyDescent="0.2">
      <c r="A3">
        <v>1963</v>
      </c>
      <c r="B3" t="s">
        <v>10</v>
      </c>
      <c r="C3">
        <v>3</v>
      </c>
      <c r="D3">
        <v>26</v>
      </c>
      <c r="E3">
        <v>27</v>
      </c>
      <c r="F3">
        <v>15</v>
      </c>
      <c r="G3">
        <v>2</v>
      </c>
      <c r="H3">
        <v>27</v>
      </c>
      <c r="I3">
        <f t="shared" ref="I3:I39" si="0">((C3*2)+(D3*1)+(F3*-1)+(G3*-2))/SUM(C3:G3)</f>
        <v>0.17808219178082191</v>
      </c>
    </row>
    <row r="4" spans="1:9" x14ac:dyDescent="0.2">
      <c r="A4">
        <v>1965</v>
      </c>
      <c r="B4" t="s">
        <v>21</v>
      </c>
      <c r="C4">
        <v>16</v>
      </c>
      <c r="D4">
        <v>64</v>
      </c>
      <c r="E4">
        <v>11</v>
      </c>
      <c r="F4">
        <v>1</v>
      </c>
      <c r="G4">
        <v>0</v>
      </c>
      <c r="H4">
        <v>0</v>
      </c>
      <c r="I4">
        <f t="shared" si="0"/>
        <v>1.0326086956521738</v>
      </c>
    </row>
    <row r="5" spans="1:9" x14ac:dyDescent="0.2">
      <c r="A5">
        <v>1966</v>
      </c>
      <c r="B5" t="s">
        <v>12</v>
      </c>
      <c r="C5">
        <v>39</v>
      </c>
      <c r="D5">
        <v>51</v>
      </c>
      <c r="E5">
        <v>4</v>
      </c>
      <c r="F5">
        <v>0</v>
      </c>
      <c r="G5">
        <v>0</v>
      </c>
      <c r="H5">
        <v>6</v>
      </c>
      <c r="I5">
        <f t="shared" si="0"/>
        <v>1.3723404255319149</v>
      </c>
    </row>
    <row r="6" spans="1:9" x14ac:dyDescent="0.2">
      <c r="A6">
        <v>1966</v>
      </c>
      <c r="B6" t="s">
        <v>9</v>
      </c>
      <c r="C6">
        <v>30</v>
      </c>
      <c r="D6">
        <v>56</v>
      </c>
      <c r="E6">
        <v>7</v>
      </c>
      <c r="F6">
        <v>1</v>
      </c>
      <c r="G6">
        <v>0</v>
      </c>
      <c r="H6">
        <v>6</v>
      </c>
      <c r="I6">
        <f t="shared" si="0"/>
        <v>1.2234042553191489</v>
      </c>
    </row>
    <row r="7" spans="1:9" x14ac:dyDescent="0.2">
      <c r="A7">
        <v>1967</v>
      </c>
      <c r="B7" t="s">
        <v>10</v>
      </c>
      <c r="C7">
        <v>11</v>
      </c>
      <c r="D7">
        <v>53</v>
      </c>
      <c r="E7">
        <v>21</v>
      </c>
      <c r="F7">
        <v>3</v>
      </c>
      <c r="G7">
        <v>0</v>
      </c>
      <c r="H7">
        <v>12</v>
      </c>
      <c r="I7">
        <f t="shared" si="0"/>
        <v>0.81818181818181823</v>
      </c>
    </row>
    <row r="8" spans="1:9" x14ac:dyDescent="0.2">
      <c r="A8">
        <v>1968</v>
      </c>
      <c r="B8" t="s">
        <v>12</v>
      </c>
      <c r="C8">
        <v>13</v>
      </c>
      <c r="D8">
        <v>51</v>
      </c>
      <c r="E8">
        <v>17</v>
      </c>
      <c r="F8">
        <v>3</v>
      </c>
      <c r="G8">
        <v>0</v>
      </c>
      <c r="H8">
        <v>16</v>
      </c>
      <c r="I8">
        <f t="shared" si="0"/>
        <v>0.88095238095238093</v>
      </c>
    </row>
    <row r="9" spans="1:9" x14ac:dyDescent="0.2">
      <c r="A9">
        <v>1969</v>
      </c>
      <c r="B9" t="s">
        <v>21</v>
      </c>
      <c r="C9">
        <v>16</v>
      </c>
      <c r="D9">
        <v>45</v>
      </c>
      <c r="E9">
        <v>24</v>
      </c>
      <c r="F9">
        <v>7</v>
      </c>
      <c r="G9">
        <v>1</v>
      </c>
      <c r="H9">
        <v>7</v>
      </c>
      <c r="I9">
        <f t="shared" si="0"/>
        <v>0.73118279569892475</v>
      </c>
    </row>
    <row r="10" spans="1:9" x14ac:dyDescent="0.2">
      <c r="A10">
        <v>1970</v>
      </c>
      <c r="B10" t="s">
        <v>9</v>
      </c>
      <c r="C10">
        <v>10</v>
      </c>
      <c r="D10">
        <v>41</v>
      </c>
      <c r="E10">
        <v>25</v>
      </c>
      <c r="F10">
        <v>11</v>
      </c>
      <c r="G10">
        <v>2</v>
      </c>
      <c r="H10">
        <v>11</v>
      </c>
      <c r="I10">
        <f t="shared" si="0"/>
        <v>0.5168539325842697</v>
      </c>
    </row>
    <row r="11" spans="1:9" x14ac:dyDescent="0.2">
      <c r="A11">
        <v>1971</v>
      </c>
      <c r="B11" t="s">
        <v>9</v>
      </c>
      <c r="C11">
        <v>14</v>
      </c>
      <c r="D11">
        <v>45</v>
      </c>
      <c r="E11">
        <v>25</v>
      </c>
      <c r="F11">
        <v>8</v>
      </c>
      <c r="G11">
        <v>1</v>
      </c>
      <c r="H11">
        <v>7</v>
      </c>
      <c r="I11">
        <f t="shared" si="0"/>
        <v>0.67741935483870963</v>
      </c>
    </row>
    <row r="12" spans="1:9" x14ac:dyDescent="0.2">
      <c r="A12">
        <v>1972</v>
      </c>
      <c r="B12" t="s">
        <v>8</v>
      </c>
      <c r="C12">
        <v>43</v>
      </c>
      <c r="D12">
        <v>33</v>
      </c>
      <c r="E12">
        <v>4</v>
      </c>
      <c r="F12">
        <v>2</v>
      </c>
      <c r="G12">
        <v>0</v>
      </c>
      <c r="H12">
        <v>18</v>
      </c>
      <c r="I12">
        <f t="shared" si="0"/>
        <v>1.4268292682926829</v>
      </c>
    </row>
    <row r="13" spans="1:9" x14ac:dyDescent="0.2">
      <c r="A13">
        <v>1972</v>
      </c>
      <c r="B13" t="s">
        <v>9</v>
      </c>
      <c r="C13">
        <v>44</v>
      </c>
      <c r="D13">
        <v>41</v>
      </c>
      <c r="E13">
        <v>9</v>
      </c>
      <c r="F13">
        <v>2</v>
      </c>
      <c r="G13">
        <v>0</v>
      </c>
      <c r="H13">
        <v>4</v>
      </c>
      <c r="I13">
        <f t="shared" si="0"/>
        <v>1.3229166666666667</v>
      </c>
    </row>
    <row r="14" spans="1:9" x14ac:dyDescent="0.2">
      <c r="A14">
        <v>1973</v>
      </c>
      <c r="B14" t="s">
        <v>15</v>
      </c>
      <c r="C14">
        <v>22</v>
      </c>
      <c r="D14">
        <v>52</v>
      </c>
      <c r="E14">
        <v>12</v>
      </c>
      <c r="F14">
        <v>3</v>
      </c>
      <c r="G14">
        <v>1</v>
      </c>
      <c r="H14">
        <v>10</v>
      </c>
      <c r="I14">
        <f t="shared" si="0"/>
        <v>1.0111111111111111</v>
      </c>
    </row>
    <row r="15" spans="1:9" x14ac:dyDescent="0.2">
      <c r="A15">
        <v>1973</v>
      </c>
      <c r="B15" t="s">
        <v>16</v>
      </c>
      <c r="C15">
        <v>32</v>
      </c>
      <c r="D15">
        <v>47</v>
      </c>
      <c r="E15">
        <v>11</v>
      </c>
      <c r="F15">
        <v>1</v>
      </c>
      <c r="G15">
        <v>1</v>
      </c>
      <c r="H15">
        <v>8</v>
      </c>
      <c r="I15">
        <f t="shared" si="0"/>
        <v>1.173913043478261</v>
      </c>
    </row>
    <row r="16" spans="1:9" x14ac:dyDescent="0.2">
      <c r="A16">
        <v>1974</v>
      </c>
      <c r="B16" t="s">
        <v>12</v>
      </c>
      <c r="C16">
        <v>27</v>
      </c>
      <c r="D16">
        <v>50</v>
      </c>
      <c r="E16">
        <v>10</v>
      </c>
      <c r="F16">
        <v>2</v>
      </c>
      <c r="H16">
        <v>11</v>
      </c>
      <c r="I16">
        <f t="shared" si="0"/>
        <v>1.146067415730337</v>
      </c>
    </row>
    <row r="17" spans="1:9" x14ac:dyDescent="0.2">
      <c r="A17">
        <v>1974</v>
      </c>
      <c r="B17" t="s">
        <v>16</v>
      </c>
      <c r="C17">
        <v>28</v>
      </c>
      <c r="D17">
        <v>45</v>
      </c>
      <c r="E17">
        <v>15</v>
      </c>
      <c r="F17">
        <v>3</v>
      </c>
      <c r="G17">
        <v>1</v>
      </c>
      <c r="H17">
        <v>8</v>
      </c>
      <c r="I17">
        <f t="shared" si="0"/>
        <v>1.0434782608695652</v>
      </c>
    </row>
    <row r="18" spans="1:9" x14ac:dyDescent="0.2">
      <c r="A18">
        <v>1975</v>
      </c>
      <c r="B18" t="s">
        <v>8</v>
      </c>
      <c r="C18">
        <v>18</v>
      </c>
      <c r="D18">
        <v>57</v>
      </c>
      <c r="E18">
        <v>14</v>
      </c>
      <c r="F18">
        <v>3</v>
      </c>
      <c r="H18">
        <v>8</v>
      </c>
      <c r="I18">
        <f t="shared" si="0"/>
        <v>0.97826086956521741</v>
      </c>
    </row>
    <row r="19" spans="1:9" x14ac:dyDescent="0.2">
      <c r="A19">
        <v>1975</v>
      </c>
      <c r="B19" t="s">
        <v>16</v>
      </c>
      <c r="C19">
        <v>20</v>
      </c>
      <c r="D19">
        <v>48</v>
      </c>
      <c r="E19">
        <v>15</v>
      </c>
      <c r="F19">
        <v>3</v>
      </c>
      <c r="H19">
        <v>14</v>
      </c>
      <c r="I19">
        <f t="shared" si="0"/>
        <v>0.98837209302325579</v>
      </c>
    </row>
    <row r="20" spans="1:9" x14ac:dyDescent="0.2">
      <c r="A20">
        <v>1976</v>
      </c>
      <c r="B20" t="s">
        <v>8</v>
      </c>
      <c r="C20">
        <v>17</v>
      </c>
      <c r="D20">
        <v>45</v>
      </c>
      <c r="E20">
        <v>15</v>
      </c>
      <c r="F20">
        <v>3</v>
      </c>
      <c r="G20">
        <v>1</v>
      </c>
      <c r="H20">
        <v>19</v>
      </c>
      <c r="I20">
        <f t="shared" si="0"/>
        <v>0.9135802469135802</v>
      </c>
    </row>
    <row r="21" spans="1:9" x14ac:dyDescent="0.2">
      <c r="A21">
        <v>1976</v>
      </c>
      <c r="B21" t="s">
        <v>16</v>
      </c>
      <c r="C21">
        <v>35</v>
      </c>
      <c r="D21">
        <v>43</v>
      </c>
      <c r="E21">
        <v>12</v>
      </c>
      <c r="F21">
        <v>1</v>
      </c>
      <c r="H21">
        <v>9</v>
      </c>
      <c r="I21">
        <f t="shared" si="0"/>
        <v>1.2307692307692308</v>
      </c>
    </row>
    <row r="22" spans="1:9" x14ac:dyDescent="0.2">
      <c r="A22">
        <v>1977</v>
      </c>
      <c r="B22" t="s">
        <v>17</v>
      </c>
      <c r="C22">
        <v>10</v>
      </c>
      <c r="D22">
        <v>50</v>
      </c>
      <c r="E22">
        <v>19</v>
      </c>
      <c r="F22">
        <v>4</v>
      </c>
      <c r="H22">
        <v>16</v>
      </c>
      <c r="I22">
        <f t="shared" si="0"/>
        <v>0.79518072289156627</v>
      </c>
    </row>
    <row r="23" spans="1:9" x14ac:dyDescent="0.2">
      <c r="A23">
        <v>1977</v>
      </c>
      <c r="B23" t="s">
        <v>9</v>
      </c>
      <c r="C23">
        <v>17</v>
      </c>
      <c r="D23">
        <v>52</v>
      </c>
      <c r="E23">
        <v>17</v>
      </c>
      <c r="F23">
        <v>3</v>
      </c>
      <c r="G23">
        <v>2</v>
      </c>
      <c r="H23">
        <v>9</v>
      </c>
      <c r="I23">
        <f t="shared" si="0"/>
        <v>0.86813186813186816</v>
      </c>
    </row>
    <row r="24" spans="1:9" x14ac:dyDescent="0.2">
      <c r="A24">
        <v>1978</v>
      </c>
      <c r="B24" t="s">
        <v>15</v>
      </c>
      <c r="C24">
        <v>15</v>
      </c>
      <c r="D24">
        <v>53</v>
      </c>
      <c r="E24">
        <v>20</v>
      </c>
      <c r="F24">
        <v>3</v>
      </c>
      <c r="G24">
        <v>1</v>
      </c>
      <c r="H24">
        <v>8</v>
      </c>
      <c r="I24">
        <f t="shared" si="0"/>
        <v>0.84782608695652173</v>
      </c>
    </row>
    <row r="25" spans="1:9" x14ac:dyDescent="0.2">
      <c r="A25">
        <v>1979</v>
      </c>
      <c r="B25" t="s">
        <v>17</v>
      </c>
      <c r="C25">
        <v>14</v>
      </c>
      <c r="D25">
        <v>57</v>
      </c>
      <c r="E25">
        <v>16</v>
      </c>
      <c r="F25">
        <v>2</v>
      </c>
      <c r="H25">
        <v>11</v>
      </c>
      <c r="I25">
        <f t="shared" si="0"/>
        <v>0.93258426966292129</v>
      </c>
    </row>
    <row r="26" spans="1:9" x14ac:dyDescent="0.2">
      <c r="A26">
        <v>1980</v>
      </c>
      <c r="B26" t="s">
        <v>12</v>
      </c>
      <c r="C26">
        <v>11</v>
      </c>
      <c r="D26">
        <v>48</v>
      </c>
      <c r="E26">
        <v>21</v>
      </c>
      <c r="F26">
        <v>4</v>
      </c>
      <c r="G26">
        <v>1</v>
      </c>
      <c r="H26">
        <v>9</v>
      </c>
      <c r="I26">
        <f t="shared" si="0"/>
        <v>0.75294117647058822</v>
      </c>
    </row>
    <row r="27" spans="1:9" x14ac:dyDescent="0.2">
      <c r="A27">
        <v>1980</v>
      </c>
      <c r="B27" t="s">
        <v>18</v>
      </c>
      <c r="C27">
        <v>21</v>
      </c>
      <c r="D27">
        <v>45</v>
      </c>
      <c r="E27">
        <v>18</v>
      </c>
      <c r="F27">
        <v>4</v>
      </c>
      <c r="H27">
        <v>12</v>
      </c>
      <c r="I27">
        <f t="shared" si="0"/>
        <v>0.94318181818181823</v>
      </c>
    </row>
    <row r="28" spans="1:9" x14ac:dyDescent="0.2">
      <c r="A28">
        <v>1982</v>
      </c>
      <c r="B28" t="s">
        <v>15</v>
      </c>
      <c r="C28">
        <v>18</v>
      </c>
      <c r="D28">
        <v>50</v>
      </c>
      <c r="E28">
        <v>19</v>
      </c>
      <c r="F28">
        <v>4</v>
      </c>
      <c r="G28">
        <v>1</v>
      </c>
      <c r="H28">
        <v>7</v>
      </c>
      <c r="I28">
        <f t="shared" si="0"/>
        <v>0.86956521739130432</v>
      </c>
    </row>
    <row r="29" spans="1:9" x14ac:dyDescent="0.2">
      <c r="A29">
        <v>1982</v>
      </c>
      <c r="B29" t="s">
        <v>16</v>
      </c>
      <c r="C29">
        <v>20</v>
      </c>
      <c r="D29">
        <v>49</v>
      </c>
      <c r="E29">
        <v>14</v>
      </c>
      <c r="F29">
        <v>2</v>
      </c>
      <c r="G29">
        <v>0</v>
      </c>
      <c r="H29">
        <v>15</v>
      </c>
      <c r="I29">
        <f t="shared" si="0"/>
        <v>1.0235294117647058</v>
      </c>
    </row>
    <row r="30" spans="1:9" x14ac:dyDescent="0.2">
      <c r="A30">
        <v>1983</v>
      </c>
      <c r="B30" t="s">
        <v>8</v>
      </c>
      <c r="C30">
        <v>17</v>
      </c>
      <c r="D30">
        <v>51</v>
      </c>
      <c r="E30">
        <v>16</v>
      </c>
      <c r="F30">
        <v>4</v>
      </c>
      <c r="G30">
        <v>1</v>
      </c>
      <c r="H30">
        <v>17</v>
      </c>
      <c r="I30">
        <f t="shared" si="0"/>
        <v>0.88764044943820219</v>
      </c>
    </row>
    <row r="31" spans="1:9" x14ac:dyDescent="0.2">
      <c r="A31">
        <v>1984</v>
      </c>
      <c r="B31" t="s">
        <v>16</v>
      </c>
      <c r="C31">
        <v>30</v>
      </c>
      <c r="D31">
        <v>45</v>
      </c>
      <c r="E31">
        <v>17</v>
      </c>
      <c r="F31">
        <v>4</v>
      </c>
      <c r="G31">
        <v>1</v>
      </c>
      <c r="H31">
        <v>4</v>
      </c>
      <c r="I31">
        <f t="shared" si="0"/>
        <v>1.0206185567010309</v>
      </c>
    </row>
    <row r="32" spans="1:9" x14ac:dyDescent="0.2">
      <c r="A32">
        <v>1985</v>
      </c>
      <c r="B32" t="s">
        <v>12</v>
      </c>
      <c r="C32">
        <v>37</v>
      </c>
      <c r="D32">
        <v>46</v>
      </c>
      <c r="E32">
        <v>12</v>
      </c>
      <c r="F32">
        <v>2</v>
      </c>
      <c r="G32">
        <v>1</v>
      </c>
      <c r="H32">
        <v>3</v>
      </c>
      <c r="I32">
        <f t="shared" si="0"/>
        <v>1.1836734693877551</v>
      </c>
    </row>
    <row r="33" spans="1:9" x14ac:dyDescent="0.2">
      <c r="A33">
        <v>1985</v>
      </c>
      <c r="B33" t="s">
        <v>16</v>
      </c>
      <c r="C33">
        <v>24</v>
      </c>
      <c r="D33">
        <v>50</v>
      </c>
      <c r="E33">
        <v>15</v>
      </c>
      <c r="F33">
        <v>2</v>
      </c>
      <c r="G33">
        <v>1</v>
      </c>
      <c r="H33">
        <v>9</v>
      </c>
      <c r="I33">
        <f t="shared" si="0"/>
        <v>1.0217391304347827</v>
      </c>
    </row>
    <row r="34" spans="1:9" x14ac:dyDescent="0.2">
      <c r="A34">
        <v>1986</v>
      </c>
      <c r="B34" t="s">
        <v>12</v>
      </c>
      <c r="C34">
        <v>33</v>
      </c>
      <c r="D34">
        <v>51</v>
      </c>
      <c r="E34">
        <v>10</v>
      </c>
      <c r="F34">
        <v>1</v>
      </c>
      <c r="G34">
        <v>1</v>
      </c>
      <c r="H34">
        <v>5</v>
      </c>
      <c r="I34">
        <f t="shared" si="0"/>
        <v>1.1875</v>
      </c>
    </row>
    <row r="35" spans="1:9" x14ac:dyDescent="0.2">
      <c r="A35">
        <v>1986</v>
      </c>
      <c r="B35" t="s">
        <v>16</v>
      </c>
      <c r="C35">
        <v>27</v>
      </c>
      <c r="D35">
        <v>51</v>
      </c>
      <c r="E35">
        <v>12</v>
      </c>
      <c r="F35">
        <v>2</v>
      </c>
      <c r="G35">
        <v>1</v>
      </c>
      <c r="H35">
        <v>6</v>
      </c>
      <c r="I35">
        <f t="shared" si="0"/>
        <v>1.086021505376344</v>
      </c>
    </row>
    <row r="36" spans="1:9" x14ac:dyDescent="0.2">
      <c r="A36">
        <v>1987</v>
      </c>
      <c r="B36" t="s">
        <v>12</v>
      </c>
      <c r="C36">
        <v>44</v>
      </c>
      <c r="D36">
        <v>39</v>
      </c>
      <c r="E36">
        <v>9</v>
      </c>
      <c r="F36">
        <v>1</v>
      </c>
      <c r="G36">
        <v>1</v>
      </c>
      <c r="H36">
        <v>6</v>
      </c>
      <c r="I36">
        <f t="shared" si="0"/>
        <v>1.3191489361702127</v>
      </c>
    </row>
    <row r="37" spans="1:9" x14ac:dyDescent="0.2">
      <c r="A37">
        <v>1987</v>
      </c>
      <c r="B37" t="s">
        <v>19</v>
      </c>
      <c r="C37">
        <v>43</v>
      </c>
      <c r="D37">
        <v>40</v>
      </c>
      <c r="E37">
        <v>12</v>
      </c>
      <c r="F37">
        <v>1</v>
      </c>
      <c r="G37">
        <v>1</v>
      </c>
      <c r="H37">
        <v>3</v>
      </c>
      <c r="I37">
        <f t="shared" si="0"/>
        <v>1.268041237113402</v>
      </c>
    </row>
    <row r="38" spans="1:9" x14ac:dyDescent="0.2">
      <c r="A38">
        <v>1988</v>
      </c>
      <c r="B38" t="s">
        <v>22</v>
      </c>
      <c r="C38">
        <v>35</v>
      </c>
      <c r="D38">
        <v>50</v>
      </c>
      <c r="E38">
        <v>10</v>
      </c>
      <c r="F38">
        <v>1</v>
      </c>
      <c r="G38">
        <v>1</v>
      </c>
      <c r="H38">
        <v>5</v>
      </c>
      <c r="I38">
        <f t="shared" si="0"/>
        <v>1.2061855670103092</v>
      </c>
    </row>
    <row r="39" spans="1:9" x14ac:dyDescent="0.2">
      <c r="A39">
        <v>1988</v>
      </c>
      <c r="B39" t="s">
        <v>8</v>
      </c>
      <c r="C39">
        <v>47</v>
      </c>
      <c r="D39">
        <v>37</v>
      </c>
      <c r="E39">
        <v>10</v>
      </c>
      <c r="F39">
        <v>2</v>
      </c>
      <c r="G39">
        <v>0</v>
      </c>
      <c r="H39">
        <v>4</v>
      </c>
      <c r="I39">
        <f t="shared" si="0"/>
        <v>1.34375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C215-77A0-7246-9110-E1776DD94571}">
  <dimension ref="A1:I19"/>
  <sheetViews>
    <sheetView workbookViewId="0">
      <selection activeCell="A2" sqref="A2:I19"/>
    </sheetView>
  </sheetViews>
  <sheetFormatPr baseColWidth="10" defaultRowHeight="16" x14ac:dyDescent="0.2"/>
  <sheetData>
    <row r="1" spans="1:9" s="1" customFormat="1" x14ac:dyDescent="0.2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20</v>
      </c>
    </row>
    <row r="2" spans="1:9" x14ac:dyDescent="0.2">
      <c r="A2">
        <v>1965</v>
      </c>
      <c r="B2" t="s">
        <v>21</v>
      </c>
      <c r="C2">
        <v>0</v>
      </c>
      <c r="D2">
        <v>1</v>
      </c>
      <c r="E2">
        <v>5</v>
      </c>
      <c r="F2">
        <v>28</v>
      </c>
      <c r="G2">
        <v>57</v>
      </c>
      <c r="H2">
        <v>9</v>
      </c>
      <c r="I2">
        <f>((C2*2)+(D2*1)+(F2*-1)+(G2*-2))/SUM(C2:G2)</f>
        <v>-1.5494505494505495</v>
      </c>
    </row>
    <row r="3" spans="1:9" x14ac:dyDescent="0.2">
      <c r="A3">
        <v>1966</v>
      </c>
      <c r="B3" t="s">
        <v>12</v>
      </c>
      <c r="C3">
        <v>0</v>
      </c>
      <c r="D3">
        <v>1</v>
      </c>
      <c r="E3">
        <v>4</v>
      </c>
      <c r="F3">
        <v>24</v>
      </c>
      <c r="G3">
        <v>63</v>
      </c>
      <c r="H3">
        <v>8</v>
      </c>
      <c r="I3">
        <f t="shared" ref="I3:I19" si="0">((C3*2)+(D3*1)+(F3*-1)+(G3*-2))/SUM(C3:G3)</f>
        <v>-1.6195652173913044</v>
      </c>
    </row>
    <row r="4" spans="1:9" x14ac:dyDescent="0.2">
      <c r="A4">
        <v>1966</v>
      </c>
      <c r="B4" t="s">
        <v>9</v>
      </c>
      <c r="C4">
        <v>0</v>
      </c>
      <c r="D4">
        <v>4</v>
      </c>
      <c r="E4">
        <v>5</v>
      </c>
      <c r="F4">
        <v>21</v>
      </c>
      <c r="G4">
        <v>57</v>
      </c>
      <c r="H4">
        <v>13</v>
      </c>
      <c r="I4">
        <f t="shared" si="0"/>
        <v>-1.5057471264367817</v>
      </c>
    </row>
    <row r="5" spans="1:9" x14ac:dyDescent="0.2">
      <c r="A5">
        <v>1968</v>
      </c>
      <c r="B5" t="s">
        <v>12</v>
      </c>
      <c r="C5">
        <v>1</v>
      </c>
      <c r="D5">
        <v>2</v>
      </c>
      <c r="E5">
        <v>10</v>
      </c>
      <c r="F5">
        <v>19</v>
      </c>
      <c r="G5">
        <v>53</v>
      </c>
      <c r="H5" s="2">
        <v>15</v>
      </c>
      <c r="I5">
        <f t="shared" si="0"/>
        <v>-1.4235294117647059</v>
      </c>
    </row>
    <row r="6" spans="1:9" x14ac:dyDescent="0.2">
      <c r="A6">
        <v>1969</v>
      </c>
      <c r="B6" t="s">
        <v>21</v>
      </c>
      <c r="C6">
        <v>2</v>
      </c>
      <c r="D6">
        <v>5</v>
      </c>
      <c r="E6">
        <v>12</v>
      </c>
      <c r="F6">
        <v>31</v>
      </c>
      <c r="G6">
        <v>40</v>
      </c>
      <c r="H6">
        <v>10</v>
      </c>
      <c r="I6">
        <f t="shared" si="0"/>
        <v>-1.1333333333333333</v>
      </c>
    </row>
    <row r="7" spans="1:9" x14ac:dyDescent="0.2">
      <c r="A7">
        <v>1970</v>
      </c>
      <c r="B7" t="s">
        <v>9</v>
      </c>
      <c r="C7">
        <v>3</v>
      </c>
      <c r="D7">
        <v>6</v>
      </c>
      <c r="E7">
        <v>14</v>
      </c>
      <c r="F7">
        <v>24</v>
      </c>
      <c r="G7">
        <v>42</v>
      </c>
      <c r="H7">
        <v>11</v>
      </c>
      <c r="I7">
        <f t="shared" si="0"/>
        <v>-1.0786516853932584</v>
      </c>
    </row>
    <row r="8" spans="1:9" x14ac:dyDescent="0.2">
      <c r="A8">
        <v>1971</v>
      </c>
      <c r="B8" t="s">
        <v>9</v>
      </c>
      <c r="C8">
        <v>2</v>
      </c>
      <c r="D8">
        <v>5</v>
      </c>
      <c r="E8">
        <v>14</v>
      </c>
      <c r="F8">
        <v>28</v>
      </c>
      <c r="G8">
        <v>42</v>
      </c>
      <c r="H8">
        <v>9</v>
      </c>
      <c r="I8">
        <f t="shared" si="0"/>
        <v>-1.1318681318681318</v>
      </c>
    </row>
    <row r="9" spans="1:9" x14ac:dyDescent="0.2">
      <c r="A9">
        <v>1982</v>
      </c>
      <c r="B9" t="s">
        <v>15</v>
      </c>
      <c r="C9">
        <v>3</v>
      </c>
      <c r="D9">
        <v>17</v>
      </c>
      <c r="E9">
        <v>39</v>
      </c>
      <c r="F9">
        <v>22</v>
      </c>
      <c r="G9">
        <v>6</v>
      </c>
      <c r="H9">
        <v>14</v>
      </c>
      <c r="I9">
        <f t="shared" si="0"/>
        <v>-0.12643678160919541</v>
      </c>
    </row>
    <row r="10" spans="1:9" x14ac:dyDescent="0.2">
      <c r="A10">
        <v>1982</v>
      </c>
      <c r="B10" t="s">
        <v>16</v>
      </c>
      <c r="C10">
        <v>2</v>
      </c>
      <c r="D10">
        <v>17</v>
      </c>
      <c r="E10">
        <v>35</v>
      </c>
      <c r="F10">
        <v>21</v>
      </c>
      <c r="G10">
        <v>2</v>
      </c>
      <c r="H10">
        <v>23</v>
      </c>
      <c r="I10">
        <f t="shared" si="0"/>
        <v>-5.1948051948051951E-2</v>
      </c>
    </row>
    <row r="11" spans="1:9" x14ac:dyDescent="0.2">
      <c r="A11">
        <v>1983</v>
      </c>
      <c r="B11" t="s">
        <v>8</v>
      </c>
      <c r="C11">
        <v>2</v>
      </c>
      <c r="D11">
        <v>18</v>
      </c>
      <c r="E11">
        <v>40</v>
      </c>
      <c r="F11">
        <v>19</v>
      </c>
      <c r="G11">
        <v>3</v>
      </c>
      <c r="H11">
        <v>19</v>
      </c>
      <c r="I11">
        <f t="shared" si="0"/>
        <v>-3.6585365853658534E-2</v>
      </c>
    </row>
    <row r="12" spans="1:9" x14ac:dyDescent="0.2">
      <c r="A12">
        <v>1984</v>
      </c>
      <c r="B12" t="s">
        <v>16</v>
      </c>
      <c r="C12">
        <v>9</v>
      </c>
      <c r="D12">
        <v>28</v>
      </c>
      <c r="E12">
        <v>31</v>
      </c>
      <c r="F12">
        <v>18</v>
      </c>
      <c r="G12">
        <v>4</v>
      </c>
      <c r="H12">
        <v>8</v>
      </c>
      <c r="I12">
        <f t="shared" si="0"/>
        <v>0.22222222222222221</v>
      </c>
    </row>
    <row r="13" spans="1:9" x14ac:dyDescent="0.2">
      <c r="A13">
        <v>1985</v>
      </c>
      <c r="B13" t="s">
        <v>12</v>
      </c>
      <c r="C13">
        <v>4</v>
      </c>
      <c r="D13">
        <v>23</v>
      </c>
      <c r="E13">
        <v>43</v>
      </c>
      <c r="F13">
        <v>19</v>
      </c>
      <c r="G13">
        <v>3</v>
      </c>
      <c r="H13">
        <v>8</v>
      </c>
      <c r="I13">
        <f t="shared" si="0"/>
        <v>6.5217391304347824E-2</v>
      </c>
    </row>
    <row r="14" spans="1:9" x14ac:dyDescent="0.2">
      <c r="A14">
        <v>1985</v>
      </c>
      <c r="B14" t="s">
        <v>16</v>
      </c>
      <c r="C14">
        <v>3</v>
      </c>
      <c r="D14">
        <v>21</v>
      </c>
      <c r="E14">
        <v>40</v>
      </c>
      <c r="F14">
        <v>18</v>
      </c>
      <c r="G14">
        <v>5</v>
      </c>
      <c r="H14">
        <v>13</v>
      </c>
      <c r="I14">
        <f t="shared" si="0"/>
        <v>-1.1494252873563218E-2</v>
      </c>
    </row>
    <row r="15" spans="1:9" x14ac:dyDescent="0.2">
      <c r="A15">
        <v>1986</v>
      </c>
      <c r="B15" t="s">
        <v>12</v>
      </c>
      <c r="C15">
        <v>4</v>
      </c>
      <c r="D15">
        <v>20</v>
      </c>
      <c r="E15">
        <v>42</v>
      </c>
      <c r="F15">
        <v>16</v>
      </c>
      <c r="G15">
        <v>7</v>
      </c>
      <c r="H15">
        <v>12</v>
      </c>
      <c r="I15">
        <f t="shared" si="0"/>
        <v>-2.247191011235955E-2</v>
      </c>
    </row>
    <row r="16" spans="1:9" x14ac:dyDescent="0.2">
      <c r="A16">
        <v>1986</v>
      </c>
      <c r="B16" t="s">
        <v>16</v>
      </c>
      <c r="C16">
        <v>4</v>
      </c>
      <c r="D16">
        <v>18</v>
      </c>
      <c r="E16">
        <v>42</v>
      </c>
      <c r="F16">
        <v>16</v>
      </c>
      <c r="G16">
        <v>5</v>
      </c>
      <c r="H16">
        <v>15</v>
      </c>
      <c r="I16">
        <f t="shared" si="0"/>
        <v>0</v>
      </c>
    </row>
    <row r="17" spans="1:9" x14ac:dyDescent="0.2">
      <c r="A17">
        <v>1987</v>
      </c>
      <c r="B17" t="s">
        <v>12</v>
      </c>
      <c r="C17">
        <v>3</v>
      </c>
      <c r="D17">
        <v>21</v>
      </c>
      <c r="E17">
        <v>41</v>
      </c>
      <c r="F17">
        <v>16</v>
      </c>
      <c r="G17">
        <v>7</v>
      </c>
      <c r="H17">
        <v>13</v>
      </c>
      <c r="I17">
        <f t="shared" si="0"/>
        <v>-3.4090909090909088E-2</v>
      </c>
    </row>
    <row r="18" spans="1:9" x14ac:dyDescent="0.2">
      <c r="A18">
        <v>1987</v>
      </c>
      <c r="B18" t="s">
        <v>19</v>
      </c>
      <c r="C18">
        <v>4</v>
      </c>
      <c r="D18">
        <v>30</v>
      </c>
      <c r="E18">
        <v>32</v>
      </c>
      <c r="F18">
        <v>21</v>
      </c>
      <c r="G18">
        <v>5</v>
      </c>
      <c r="H18">
        <v>8</v>
      </c>
      <c r="I18">
        <f t="shared" si="0"/>
        <v>7.6086956521739135E-2</v>
      </c>
    </row>
    <row r="19" spans="1:9" x14ac:dyDescent="0.2">
      <c r="A19">
        <v>1988</v>
      </c>
      <c r="B19" t="s">
        <v>8</v>
      </c>
      <c r="C19">
        <v>5</v>
      </c>
      <c r="D19">
        <v>18</v>
      </c>
      <c r="E19">
        <v>39</v>
      </c>
      <c r="F19">
        <v>24</v>
      </c>
      <c r="G19">
        <v>5</v>
      </c>
      <c r="H19">
        <v>10</v>
      </c>
      <c r="I19">
        <f t="shared" si="0"/>
        <v>-6.5934065934065936E-2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B9E5-98AA-6640-965D-F548163B93A0}">
  <dimension ref="A1:I10"/>
  <sheetViews>
    <sheetView workbookViewId="0">
      <selection activeCell="B9" sqref="B9"/>
    </sheetView>
  </sheetViews>
  <sheetFormatPr baseColWidth="10" defaultRowHeight="16" x14ac:dyDescent="0.2"/>
  <sheetData>
    <row r="1" spans="1:9" x14ac:dyDescent="0.2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11</v>
      </c>
      <c r="I1" t="s">
        <v>20</v>
      </c>
    </row>
    <row r="2" spans="1:9" x14ac:dyDescent="0.2">
      <c r="A2">
        <v>1983</v>
      </c>
      <c r="B2" t="s">
        <v>8</v>
      </c>
      <c r="C2">
        <v>0</v>
      </c>
      <c r="D2">
        <v>6</v>
      </c>
      <c r="E2">
        <v>37</v>
      </c>
      <c r="F2">
        <v>31</v>
      </c>
      <c r="G2">
        <v>8</v>
      </c>
      <c r="H2">
        <v>18</v>
      </c>
      <c r="I2">
        <f t="shared" ref="I2:I10" si="0">((C2*2)+(D2*1)+(F2*-1)+(G2*-2))/SUM(C2:G2)</f>
        <v>-0.5</v>
      </c>
    </row>
    <row r="3" spans="1:9" x14ac:dyDescent="0.2">
      <c r="A3">
        <v>1984</v>
      </c>
      <c r="B3" t="s">
        <v>16</v>
      </c>
      <c r="C3">
        <v>1</v>
      </c>
      <c r="D3">
        <v>4</v>
      </c>
      <c r="E3">
        <v>21</v>
      </c>
      <c r="F3">
        <v>44</v>
      </c>
      <c r="G3">
        <v>21</v>
      </c>
      <c r="H3">
        <v>9</v>
      </c>
      <c r="I3">
        <f t="shared" si="0"/>
        <v>-0.87912087912087911</v>
      </c>
    </row>
    <row r="4" spans="1:9" x14ac:dyDescent="0.2">
      <c r="A4">
        <v>1985</v>
      </c>
      <c r="B4" t="s">
        <v>12</v>
      </c>
      <c r="C4">
        <v>1</v>
      </c>
      <c r="D4">
        <v>8</v>
      </c>
      <c r="E4">
        <v>26</v>
      </c>
      <c r="F4">
        <v>41</v>
      </c>
      <c r="G4">
        <v>17</v>
      </c>
      <c r="H4">
        <v>7</v>
      </c>
      <c r="I4">
        <f t="shared" si="0"/>
        <v>-0.69892473118279574</v>
      </c>
    </row>
    <row r="5" spans="1:9" x14ac:dyDescent="0.2">
      <c r="A5">
        <v>1985</v>
      </c>
      <c r="B5" t="s">
        <v>16</v>
      </c>
      <c r="C5">
        <v>0</v>
      </c>
      <c r="D5">
        <v>2</v>
      </c>
      <c r="E5">
        <v>21</v>
      </c>
      <c r="F5">
        <v>46</v>
      </c>
      <c r="G5">
        <v>21</v>
      </c>
      <c r="H5">
        <v>11</v>
      </c>
      <c r="I5">
        <f t="shared" si="0"/>
        <v>-0.9555555555555556</v>
      </c>
    </row>
    <row r="6" spans="1:9" x14ac:dyDescent="0.2">
      <c r="A6">
        <v>1986</v>
      </c>
      <c r="B6" t="s">
        <v>12</v>
      </c>
      <c r="C6">
        <v>1</v>
      </c>
      <c r="D6">
        <v>6</v>
      </c>
      <c r="E6">
        <v>28</v>
      </c>
      <c r="F6">
        <v>35</v>
      </c>
      <c r="G6">
        <v>19</v>
      </c>
      <c r="H6">
        <v>12</v>
      </c>
      <c r="I6">
        <f t="shared" si="0"/>
        <v>-0.7303370786516854</v>
      </c>
    </row>
    <row r="7" spans="1:9" x14ac:dyDescent="0.2">
      <c r="A7">
        <v>1986</v>
      </c>
      <c r="B7" t="s">
        <v>16</v>
      </c>
      <c r="C7">
        <v>0</v>
      </c>
      <c r="D7">
        <v>4</v>
      </c>
      <c r="E7">
        <v>24</v>
      </c>
      <c r="F7">
        <v>27</v>
      </c>
      <c r="G7">
        <v>20</v>
      </c>
      <c r="H7">
        <v>14</v>
      </c>
      <c r="I7">
        <f t="shared" si="0"/>
        <v>-0.84</v>
      </c>
    </row>
    <row r="8" spans="1:9" x14ac:dyDescent="0.2">
      <c r="A8">
        <v>1987</v>
      </c>
      <c r="B8" t="s">
        <v>12</v>
      </c>
      <c r="C8">
        <v>1</v>
      </c>
      <c r="D8">
        <v>7</v>
      </c>
      <c r="E8">
        <v>25</v>
      </c>
      <c r="F8">
        <v>37</v>
      </c>
      <c r="G8">
        <v>20</v>
      </c>
      <c r="H8">
        <v>10</v>
      </c>
      <c r="I8">
        <f t="shared" si="0"/>
        <v>-0.75555555555555554</v>
      </c>
    </row>
    <row r="9" spans="1:9" x14ac:dyDescent="0.2">
      <c r="A9">
        <v>1987</v>
      </c>
      <c r="B9" t="s">
        <v>19</v>
      </c>
      <c r="C9">
        <v>1</v>
      </c>
      <c r="D9">
        <v>8</v>
      </c>
      <c r="E9">
        <v>37</v>
      </c>
      <c r="F9">
        <v>32</v>
      </c>
      <c r="G9">
        <v>17</v>
      </c>
      <c r="H9">
        <v>5</v>
      </c>
      <c r="I9">
        <f t="shared" si="0"/>
        <v>-0.58947368421052626</v>
      </c>
    </row>
    <row r="10" spans="1:9" x14ac:dyDescent="0.2">
      <c r="A10">
        <v>1988</v>
      </c>
      <c r="B10" t="s">
        <v>8</v>
      </c>
      <c r="C10">
        <v>0</v>
      </c>
      <c r="D10">
        <v>4</v>
      </c>
      <c r="E10">
        <v>31</v>
      </c>
      <c r="F10">
        <v>39</v>
      </c>
      <c r="G10">
        <v>20</v>
      </c>
      <c r="H10">
        <v>6</v>
      </c>
      <c r="I10">
        <f t="shared" si="0"/>
        <v>-0.7978723404255319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IntlImageUSA</vt:lpstr>
      <vt:lpstr>IntlImageUSSR</vt:lpstr>
      <vt:lpstr>IntlImageChina</vt:lpstr>
      <vt:lpstr>IntlImagePaki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Aidan Milliff</cp:lastModifiedBy>
  <dcterms:created xsi:type="dcterms:W3CDTF">2019-07-11T17:46:49Z</dcterms:created>
  <dcterms:modified xsi:type="dcterms:W3CDTF">2024-03-11T21:59:55Z</dcterms:modified>
</cp:coreProperties>
</file>